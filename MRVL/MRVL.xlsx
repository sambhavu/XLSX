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ocuments/"/>
    </mc:Choice>
  </mc:AlternateContent>
  <xr:revisionPtr revIDLastSave="0" documentId="8_{B491ED5B-37B2-C443-A75B-BBEC4F44A74E}" xr6:coauthVersionLast="47" xr6:coauthVersionMax="47" xr10:uidLastSave="{00000000-0000-0000-0000-000000000000}"/>
  <bookViews>
    <workbookView xWindow="0" yWindow="500" windowWidth="32320" windowHeight="19040" activeTab="3" xr2:uid="{00A3ADE5-5590-214F-8D9C-3F9C21721BE8}"/>
  </bookViews>
  <sheets>
    <sheet name="Balance Sheet" sheetId="1" r:id="rId1"/>
    <sheet name="Income Statement" sheetId="2" r:id="rId2"/>
    <sheet name="Cash Flow" sheetId="3" r:id="rId3"/>
    <sheet name="DCF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4" l="1"/>
  <c r="D88" i="4"/>
  <c r="D85" i="4"/>
  <c r="B71" i="4"/>
  <c r="G65" i="4"/>
  <c r="F65" i="4"/>
  <c r="G64" i="4"/>
  <c r="F64" i="4"/>
  <c r="F67" i="4" s="1"/>
  <c r="G59" i="4"/>
  <c r="F59" i="4"/>
  <c r="G52" i="4"/>
  <c r="F52" i="4"/>
  <c r="E52" i="4"/>
  <c r="G50" i="4"/>
  <c r="F50" i="4"/>
  <c r="F51" i="4" s="1"/>
  <c r="E50" i="4"/>
  <c r="G48" i="4"/>
  <c r="G60" i="4" s="1"/>
  <c r="E48" i="4"/>
  <c r="F48" i="4"/>
  <c r="B47" i="4"/>
  <c r="G40" i="4"/>
  <c r="G72" i="4" s="1"/>
  <c r="F40" i="4"/>
  <c r="F72" i="4" s="1"/>
  <c r="E40" i="4"/>
  <c r="E72" i="4" s="1"/>
  <c r="G34" i="4"/>
  <c r="F34" i="4"/>
  <c r="F35" i="4" s="1"/>
  <c r="E34" i="4"/>
  <c r="G32" i="4"/>
  <c r="F32" i="4"/>
  <c r="E32" i="4"/>
  <c r="G23" i="4"/>
  <c r="F23" i="4"/>
  <c r="E23" i="4"/>
  <c r="G21" i="4"/>
  <c r="F21" i="4"/>
  <c r="E21" i="4"/>
  <c r="G19" i="4"/>
  <c r="F19" i="4"/>
  <c r="E19" i="4"/>
  <c r="G17" i="4"/>
  <c r="F17" i="4"/>
  <c r="E17" i="4"/>
  <c r="G11" i="4"/>
  <c r="F11" i="4"/>
  <c r="E11" i="4"/>
  <c r="G9" i="4"/>
  <c r="H9" i="4" s="1"/>
  <c r="F9" i="4"/>
  <c r="E9" i="4"/>
  <c r="F7" i="4"/>
  <c r="G7" i="4" s="1"/>
  <c r="H7" i="4" s="1"/>
  <c r="I7" i="4" s="1"/>
  <c r="J7" i="4" s="1"/>
  <c r="K7" i="4" s="1"/>
  <c r="L7" i="4" s="1"/>
  <c r="H67" i="4" l="1"/>
  <c r="H23" i="4"/>
  <c r="H48" i="4"/>
  <c r="E49" i="4"/>
  <c r="E54" i="4"/>
  <c r="G54" i="4"/>
  <c r="G67" i="4"/>
  <c r="G74" i="4" s="1"/>
  <c r="H40" i="4"/>
  <c r="I40" i="4" s="1"/>
  <c r="H21" i="4"/>
  <c r="H17" i="4"/>
  <c r="I9" i="4"/>
  <c r="J9" i="4" s="1"/>
  <c r="H62" i="4"/>
  <c r="H73" i="4" s="1"/>
  <c r="G62" i="4"/>
  <c r="F54" i="4"/>
  <c r="G51" i="4"/>
  <c r="F49" i="4"/>
  <c r="F22" i="4"/>
  <c r="E53" i="4"/>
  <c r="G49" i="4"/>
  <c r="F53" i="4"/>
  <c r="F14" i="4"/>
  <c r="F15" i="4" s="1"/>
  <c r="G53" i="4"/>
  <c r="E51" i="4"/>
  <c r="H51" i="4" s="1"/>
  <c r="H50" i="4" s="1"/>
  <c r="E14" i="4"/>
  <c r="E15" i="4" s="1"/>
  <c r="F18" i="4"/>
  <c r="G22" i="4"/>
  <c r="E20" i="4"/>
  <c r="F24" i="4"/>
  <c r="E33" i="4"/>
  <c r="E12" i="4"/>
  <c r="F20" i="4"/>
  <c r="F33" i="4"/>
  <c r="F12" i="4"/>
  <c r="G14" i="4"/>
  <c r="G15" i="4" s="1"/>
  <c r="G24" i="4"/>
  <c r="G20" i="4"/>
  <c r="G33" i="4"/>
  <c r="G35" i="4"/>
  <c r="G12" i="4"/>
  <c r="E26" i="4"/>
  <c r="E27" i="4" s="1"/>
  <c r="E24" i="4"/>
  <c r="G26" i="4"/>
  <c r="G27" i="4" s="1"/>
  <c r="F10" i="4"/>
  <c r="E35" i="4"/>
  <c r="E22" i="4"/>
  <c r="F26" i="4"/>
  <c r="F27" i="4" s="1"/>
  <c r="E18" i="4"/>
  <c r="G10" i="4"/>
  <c r="G18" i="4"/>
  <c r="I51" i="4" l="1"/>
  <c r="J51" i="4" s="1"/>
  <c r="H33" i="4"/>
  <c r="I23" i="4"/>
  <c r="H12" i="4"/>
  <c r="H11" i="4" s="1"/>
  <c r="H14" i="4" s="1"/>
  <c r="H15" i="4" s="1"/>
  <c r="H35" i="4"/>
  <c r="H20" i="4"/>
  <c r="H19" i="4" s="1"/>
  <c r="H26" i="4" s="1"/>
  <c r="H53" i="4"/>
  <c r="I53" i="4" s="1"/>
  <c r="J53" i="4" s="1"/>
  <c r="J52" i="4" s="1"/>
  <c r="I19" i="4"/>
  <c r="K51" i="4"/>
  <c r="L51" i="4" s="1"/>
  <c r="H32" i="4"/>
  <c r="I67" i="4"/>
  <c r="G68" i="4"/>
  <c r="I33" i="4"/>
  <c r="J40" i="4"/>
  <c r="I54" i="4"/>
  <c r="I72" i="4"/>
  <c r="I62" i="4"/>
  <c r="I73" i="4" s="1"/>
  <c r="H72" i="4"/>
  <c r="H54" i="4"/>
  <c r="H74" i="4"/>
  <c r="J62" i="4"/>
  <c r="J73" i="4" s="1"/>
  <c r="J17" i="4"/>
  <c r="J50" i="4"/>
  <c r="K9" i="4"/>
  <c r="K23" i="4" s="1"/>
  <c r="J21" i="4"/>
  <c r="I21" i="4"/>
  <c r="I48" i="4"/>
  <c r="J48" i="4"/>
  <c r="J23" i="4"/>
  <c r="I17" i="4"/>
  <c r="I50" i="4"/>
  <c r="J67" i="4"/>
  <c r="G63" i="4"/>
  <c r="G73" i="4"/>
  <c r="E29" i="4"/>
  <c r="G29" i="4"/>
  <c r="E30" i="4"/>
  <c r="E37" i="4"/>
  <c r="F29" i="4"/>
  <c r="I12" i="4" l="1"/>
  <c r="J12" i="4" s="1"/>
  <c r="J11" i="4" s="1"/>
  <c r="J14" i="4" s="1"/>
  <c r="J15" i="4" s="1"/>
  <c r="J74" i="4"/>
  <c r="H27" i="4"/>
  <c r="H29" i="4"/>
  <c r="H30" i="4" s="1"/>
  <c r="I74" i="4"/>
  <c r="J54" i="4"/>
  <c r="J72" i="4"/>
  <c r="K40" i="4"/>
  <c r="H34" i="4"/>
  <c r="I35" i="4"/>
  <c r="J35" i="4" s="1"/>
  <c r="I52" i="4"/>
  <c r="I11" i="4"/>
  <c r="I14" i="4" s="1"/>
  <c r="I15" i="4" s="1"/>
  <c r="J33" i="4"/>
  <c r="J32" i="4" s="1"/>
  <c r="I32" i="4"/>
  <c r="H52" i="4"/>
  <c r="K53" i="4"/>
  <c r="L53" i="4" s="1"/>
  <c r="K48" i="4"/>
  <c r="J19" i="4"/>
  <c r="J26" i="4" s="1"/>
  <c r="J27" i="4" s="1"/>
  <c r="I26" i="4"/>
  <c r="I27" i="4" s="1"/>
  <c r="K62" i="4"/>
  <c r="K73" i="4" s="1"/>
  <c r="K50" i="4"/>
  <c r="K17" i="4"/>
  <c r="K19" i="4"/>
  <c r="L9" i="4"/>
  <c r="L48" i="4" s="1"/>
  <c r="K21" i="4"/>
  <c r="K67" i="4"/>
  <c r="K74" i="4" s="1"/>
  <c r="G37" i="4"/>
  <c r="G30" i="4"/>
  <c r="F30" i="4"/>
  <c r="F37" i="4"/>
  <c r="E38" i="4"/>
  <c r="E42" i="4"/>
  <c r="K12" i="4" l="1"/>
  <c r="H37" i="4"/>
  <c r="H42" i="4" s="1"/>
  <c r="K52" i="4"/>
  <c r="J34" i="4"/>
  <c r="K35" i="4"/>
  <c r="K34" i="4" s="1"/>
  <c r="I29" i="4"/>
  <c r="I30" i="4" s="1"/>
  <c r="K33" i="4"/>
  <c r="K72" i="4"/>
  <c r="K54" i="4"/>
  <c r="L40" i="4"/>
  <c r="I34" i="4"/>
  <c r="L23" i="4"/>
  <c r="L19" i="4"/>
  <c r="K26" i="4"/>
  <c r="K27" i="4" s="1"/>
  <c r="L17" i="4"/>
  <c r="L52" i="4"/>
  <c r="L67" i="4"/>
  <c r="L74" i="4" s="1"/>
  <c r="L21" i="4"/>
  <c r="J29" i="4"/>
  <c r="L62" i="4"/>
  <c r="L73" i="4" s="1"/>
  <c r="L50" i="4"/>
  <c r="E43" i="4"/>
  <c r="E47" i="4"/>
  <c r="E56" i="4" s="1"/>
  <c r="G38" i="4"/>
  <c r="G42" i="4"/>
  <c r="F38" i="4"/>
  <c r="F42" i="4"/>
  <c r="H43" i="4" l="1"/>
  <c r="H47" i="4"/>
  <c r="H56" i="4" s="1"/>
  <c r="H57" i="4" s="1"/>
  <c r="H38" i="4"/>
  <c r="L12" i="4"/>
  <c r="L11" i="4" s="1"/>
  <c r="L14" i="4" s="1"/>
  <c r="L15" i="4" s="1"/>
  <c r="K11" i="4"/>
  <c r="K14" i="4" s="1"/>
  <c r="K15" i="4" s="1"/>
  <c r="L35" i="4"/>
  <c r="L34" i="4" s="1"/>
  <c r="I37" i="4"/>
  <c r="I38" i="4" s="1"/>
  <c r="L54" i="4"/>
  <c r="L72" i="4"/>
  <c r="L33" i="4"/>
  <c r="L32" i="4" s="1"/>
  <c r="K32" i="4"/>
  <c r="L26" i="4"/>
  <c r="L27" i="4" s="1"/>
  <c r="J30" i="4"/>
  <c r="J37" i="4"/>
  <c r="H71" i="4"/>
  <c r="H76" i="4" s="1"/>
  <c r="H82" i="4" s="1"/>
  <c r="E57" i="4"/>
  <c r="E71" i="4"/>
  <c r="F43" i="4"/>
  <c r="F47" i="4"/>
  <c r="F56" i="4" s="1"/>
  <c r="G43" i="4"/>
  <c r="G47" i="4"/>
  <c r="G56" i="4" s="1"/>
  <c r="K29" i="4" l="1"/>
  <c r="K30" i="4" s="1"/>
  <c r="I42" i="4"/>
  <c r="L29" i="4"/>
  <c r="L37" i="4" s="1"/>
  <c r="K37" i="4"/>
  <c r="K38" i="4" s="1"/>
  <c r="J42" i="4"/>
  <c r="J38" i="4"/>
  <c r="L30" i="4"/>
  <c r="I47" i="4"/>
  <c r="I56" i="4" s="1"/>
  <c r="I43" i="4"/>
  <c r="G57" i="4"/>
  <c r="G71" i="4"/>
  <c r="G76" i="4" s="1"/>
  <c r="F57" i="4"/>
  <c r="F71" i="4"/>
  <c r="K42" i="4" l="1"/>
  <c r="J43" i="4"/>
  <c r="J47" i="4"/>
  <c r="J56" i="4" s="1"/>
  <c r="I71" i="4"/>
  <c r="I76" i="4" s="1"/>
  <c r="I82" i="4" s="1"/>
  <c r="I57" i="4"/>
  <c r="L38" i="4"/>
  <c r="L42" i="4"/>
  <c r="K43" i="4" l="1"/>
  <c r="K47" i="4"/>
  <c r="K56" i="4" s="1"/>
  <c r="J57" i="4"/>
  <c r="J71" i="4"/>
  <c r="J76" i="4" s="1"/>
  <c r="J82" i="4" s="1"/>
  <c r="L47" i="4"/>
  <c r="L56" i="4" s="1"/>
  <c r="L43" i="4"/>
  <c r="K57" i="4" l="1"/>
  <c r="K71" i="4"/>
  <c r="K76" i="4" s="1"/>
  <c r="K82" i="4" s="1"/>
  <c r="L71" i="4"/>
  <c r="L76" i="4" s="1"/>
  <c r="L57" i="4"/>
  <c r="M76" i="4" l="1"/>
  <c r="L82" i="4" s="1"/>
  <c r="D83" i="4" s="1"/>
  <c r="D87" i="4" s="1"/>
  <c r="D89" i="4" s="1"/>
</calcChain>
</file>

<file path=xl/sharedStrings.xml><?xml version="1.0" encoding="utf-8"?>
<sst xmlns="http://schemas.openxmlformats.org/spreadsheetml/2006/main" count="169" uniqueCount="137">
  <si>
    <t>CONSOLIDATED BALANCE SHEETS - USD ($)</t>
  </si>
  <si>
    <t>$ in Millions</t>
  </si>
  <si>
    <t>Feb. 01, 2025</t>
  </si>
  <si>
    <t>Feb. 03, 2024</t>
  </si>
  <si>
    <t>Current assets:</t>
  </si>
  <si>
    <t>Cash and cash equivalents</t>
  </si>
  <si>
    <t>Accounts receivable, net</t>
  </si>
  <si>
    <t>Inventories</t>
  </si>
  <si>
    <t>Prepaid expenses and other current assets</t>
  </si>
  <si>
    <t>Total current assets</t>
  </si>
  <si>
    <t>Property and equipment, net</t>
  </si>
  <si>
    <t>Goodwill</t>
  </si>
  <si>
    <t>Acquired intangible assets, net</t>
  </si>
  <si>
    <t>Deferred tax assets</t>
  </si>
  <si>
    <t>Other non-current assets</t>
  </si>
  <si>
    <t>Total assets</t>
  </si>
  <si>
    <t>Current liabilities:</t>
  </si>
  <si>
    <t>Accounts payable</t>
  </si>
  <si>
    <t>Accrued liabilities</t>
  </si>
  <si>
    <t>Accrued employee compensation</t>
  </si>
  <si>
    <t>Short-term debt</t>
  </si>
  <si>
    <t>Total current liabilities</t>
  </si>
  <si>
    <t>Long-term debt</t>
  </si>
  <si>
    <t>Other non-current liabilities</t>
  </si>
  <si>
    <t>Total liabilities</t>
  </si>
  <si>
    <t>Commitments and contingencies (Note 8)</t>
  </si>
  <si>
    <t>Stockholders’ equity:</t>
  </si>
  <si>
    <t>Preferred stock, $0.002 par value; 8.0 shares authorized; no shares issued and outstanding</t>
  </si>
  <si>
    <t>Common stock, $0.002 par value; 1.3 billion shares authorized; 866.0 and 865.5 shares issued and outstanding in fiscal 2025 and 2024, respectively</t>
  </si>
  <si>
    <t>Additional paid-in capital</t>
  </si>
  <si>
    <t>Accumulated other comprehensive income</t>
  </si>
  <si>
    <t>Accumulated deficit</t>
  </si>
  <si>
    <t>Total stockholders’ equity</t>
  </si>
  <si>
    <t>Total liabilities and stockholders’ equity</t>
  </si>
  <si>
    <t>CONSOLIDATED STATEMENTS OF OPERATIONS - USD ($)</t>
  </si>
  <si>
    <t>shares in Millions, $ in Millions</t>
  </si>
  <si>
    <t>12 Months Ended</t>
  </si>
  <si>
    <t>Jan. 28, 2023</t>
  </si>
  <si>
    <t>Income Statement [Abstract]</t>
  </si>
  <si>
    <t>Net revenue</t>
  </si>
  <si>
    <t>Cost of goods sold</t>
  </si>
  <si>
    <t>Gross profit</t>
  </si>
  <si>
    <t>Operating expenses:</t>
  </si>
  <si>
    <t>Research and development</t>
  </si>
  <si>
    <t>Selling, general and administrative</t>
  </si>
  <si>
    <t>Legal settlement</t>
  </si>
  <si>
    <t>Restructuring related charges</t>
  </si>
  <si>
    <t>Total operating expenses</t>
  </si>
  <si>
    <t>Operating income (loss)</t>
  </si>
  <si>
    <t>Interest expense</t>
  </si>
  <si>
    <t>Interest income and other, net</t>
  </si>
  <si>
    <t>Interest and other loss, net</t>
  </si>
  <si>
    <t>Income (loss) before income taxes</t>
  </si>
  <si>
    <t>Provision (benefit) for income taxes</t>
  </si>
  <si>
    <t>Net loss</t>
  </si>
  <si>
    <t>Net loss per share — basic (in dollars per share)</t>
  </si>
  <si>
    <t>Net loss per share — diluted (in dollars per share)</t>
  </si>
  <si>
    <t>Weighted-average shares:</t>
  </si>
  <si>
    <t>Basic (in shares)</t>
  </si>
  <si>
    <t>Diluted (in shares)</t>
  </si>
  <si>
    <t>CONSOLIDATED STATEMENTS OF CASH FLOWS - USD ($)</t>
  </si>
  <si>
    <t>Cash flows from operating activities:</t>
  </si>
  <si>
    <t>Adjustments to reconcile net loss to net cash provided by operating activities:</t>
  </si>
  <si>
    <t>Depreciation and amortization</t>
  </si>
  <si>
    <t>Stock-based compensation</t>
  </si>
  <si>
    <t>Amortization of acquired intangible assets</t>
  </si>
  <si>
    <t>Amortization of inventory fair value adjustment associated with acquisitions</t>
  </si>
  <si>
    <t>Restructuring related impairment charges</t>
  </si>
  <si>
    <t>Deferred income taxes</t>
  </si>
  <si>
    <t>Other expense, net</t>
  </si>
  <si>
    <t>Changes in assets and liabilities, net of acquisitions:</t>
  </si>
  <si>
    <t>Accounts receivable</t>
  </si>
  <si>
    <t>Prepaid expenses and other assets</t>
  </si>
  <si>
    <t>Accrued liabilities and other non-current liabilities</t>
  </si>
  <si>
    <t>Net cash provided by operating activities</t>
  </si>
  <si>
    <t>Cash flows from investing activities:</t>
  </si>
  <si>
    <t>Purchases of technology licenses</t>
  </si>
  <si>
    <t>Purchases of property and equipment</t>
  </si>
  <si>
    <t>Acquisitions, net of cash acquired</t>
  </si>
  <si>
    <t>Other, net</t>
  </si>
  <si>
    <t>Net cash used in investing activities</t>
  </si>
  <si>
    <t>Cash flows from financing activities:</t>
  </si>
  <si>
    <t>Repurchases of common stock</t>
  </si>
  <si>
    <t>Proceeds from employee stock plans</t>
  </si>
  <si>
    <t>Tax withholding paid on behalf of employees for net share settlement</t>
  </si>
  <si>
    <t>Dividend payments to stockholders</t>
  </si>
  <si>
    <t>Payments on technology license obligations</t>
  </si>
  <si>
    <t>Proceeds from borrowings</t>
  </si>
  <si>
    <t>Principal payments of debt</t>
  </si>
  <si>
    <t>Net cash used in financing activities</t>
  </si>
  <si>
    <t>Net increase (decrease) in cash and cash equivalents</t>
  </si>
  <si>
    <t>Cash and cash equivalents at beginning of the year</t>
  </si>
  <si>
    <t>Cash and cash equivalents at end of the year</t>
  </si>
  <si>
    <t>DCF</t>
  </si>
  <si>
    <t>Revenues</t>
  </si>
  <si>
    <t>Historical</t>
  </si>
  <si>
    <t xml:space="preserve">   % growth</t>
  </si>
  <si>
    <t>Cost of Goods Sold</t>
  </si>
  <si>
    <t xml:space="preserve">   % of Revenue</t>
  </si>
  <si>
    <t>Gross Profit</t>
  </si>
  <si>
    <t>T</t>
  </si>
  <si>
    <t>Research and Development</t>
  </si>
  <si>
    <t>SG&amp;A</t>
  </si>
  <si>
    <t>Legal</t>
  </si>
  <si>
    <t>Restructuring</t>
  </si>
  <si>
    <t>Total Operating Expenses</t>
  </si>
  <si>
    <t>Forecast</t>
  </si>
  <si>
    <t xml:space="preserve">Operating Income </t>
  </si>
  <si>
    <t>Interest Expense</t>
  </si>
  <si>
    <t xml:space="preserve">Interest Income </t>
  </si>
  <si>
    <t xml:space="preserve">Pretax Income </t>
  </si>
  <si>
    <t>Income Taxes</t>
  </si>
  <si>
    <t>Net Loss</t>
  </si>
  <si>
    <t>Income Statement</t>
  </si>
  <si>
    <t>Adj. EBITDA</t>
  </si>
  <si>
    <t>Depreciation</t>
  </si>
  <si>
    <t>Stock Based Compensation</t>
  </si>
  <si>
    <t>Amortization</t>
  </si>
  <si>
    <t>PPE</t>
  </si>
  <si>
    <t>Capex</t>
  </si>
  <si>
    <t>Current Assets</t>
  </si>
  <si>
    <t>Current Liabilities</t>
  </si>
  <si>
    <t>Net Working Capital</t>
  </si>
  <si>
    <t>Free Cash Flow</t>
  </si>
  <si>
    <t>Less Taxes</t>
  </si>
  <si>
    <t>Taxes</t>
  </si>
  <si>
    <t>Less Capex</t>
  </si>
  <si>
    <t>less Change in NWC</t>
  </si>
  <si>
    <t>g</t>
  </si>
  <si>
    <t>wacc</t>
  </si>
  <si>
    <t xml:space="preserve">Discounted Cash Flow </t>
  </si>
  <si>
    <t>Enterprise Value</t>
  </si>
  <si>
    <t>Less Debt</t>
  </si>
  <si>
    <t>Add Cash</t>
  </si>
  <si>
    <t>Equity Value</t>
  </si>
  <si>
    <t>Shares Outstanding</t>
  </si>
  <si>
    <t>Price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</si>
</sst>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4" formatCode="#,##0.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000000"/>
      <name val="Helvetica"/>
      <family val="2"/>
    </font>
    <font>
      <sz val="8"/>
      <color rgb="FF000000"/>
      <name val="Helvetica"/>
      <family val="2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i/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4" fillId="0" borderId="0" xfId="1"/>
    <xf numFmtId="0" fontId="3" fillId="0" borderId="0" xfId="0" applyFont="1"/>
    <xf numFmtId="8" fontId="0" fillId="0" borderId="0" xfId="0" applyNumberFormat="1"/>
    <xf numFmtId="8" fontId="3" fillId="0" borderId="0" xfId="0" applyNumberFormat="1" applyFont="1"/>
    <xf numFmtId="4" fontId="0" fillId="0" borderId="0" xfId="0" applyNumberFormat="1"/>
    <xf numFmtId="4" fontId="3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/>
    <xf numFmtId="9" fontId="0" fillId="0" borderId="0" xfId="0" applyNumberFormat="1"/>
    <xf numFmtId="8" fontId="6" fillId="0" borderId="0" xfId="0" applyNumberFormat="1" applyFont="1"/>
    <xf numFmtId="4" fontId="6" fillId="0" borderId="0" xfId="0" applyNumberFormat="1" applyFont="1"/>
    <xf numFmtId="9" fontId="5" fillId="0" borderId="0" xfId="0" applyNumberFormat="1" applyFont="1"/>
    <xf numFmtId="0" fontId="0" fillId="0" borderId="0" xfId="0" applyFont="1"/>
    <xf numFmtId="8" fontId="1" fillId="0" borderId="1" xfId="0" applyNumberFormat="1" applyFont="1" applyBorder="1"/>
    <xf numFmtId="0" fontId="0" fillId="3" borderId="0" xfId="0" applyFill="1" applyAlignment="1">
      <alignment horizontal="center"/>
    </xf>
    <xf numFmtId="0" fontId="6" fillId="0" borderId="0" xfId="0" applyFont="1"/>
    <xf numFmtId="4" fontId="1" fillId="0" borderId="1" xfId="0" applyNumberFormat="1" applyFont="1" applyBorder="1"/>
    <xf numFmtId="0" fontId="7" fillId="0" borderId="0" xfId="0" applyFont="1"/>
    <xf numFmtId="9" fontId="7" fillId="0" borderId="0" xfId="0" applyNumberFormat="1" applyFont="1"/>
    <xf numFmtId="0" fontId="8" fillId="0" borderId="0" xfId="0" applyFont="1"/>
    <xf numFmtId="0" fontId="1" fillId="0" borderId="1" xfId="0" applyFont="1" applyBorder="1"/>
    <xf numFmtId="2" fontId="5" fillId="0" borderId="0" xfId="0" applyNumberFormat="1" applyFont="1"/>
    <xf numFmtId="9" fontId="6" fillId="0" borderId="0" xfId="0" applyNumberFormat="1" applyFont="1"/>
    <xf numFmtId="8" fontId="9" fillId="0" borderId="0" xfId="0" applyNumberFormat="1" applyFont="1"/>
    <xf numFmtId="1" fontId="0" fillId="0" borderId="0" xfId="0" applyNumberFormat="1"/>
    <xf numFmtId="9" fontId="10" fillId="0" borderId="0" xfId="0" applyNumberFormat="1" applyFont="1"/>
    <xf numFmtId="9" fontId="11" fillId="0" borderId="0" xfId="0" applyNumberFormat="1" applyFont="1"/>
    <xf numFmtId="3" fontId="1" fillId="0" borderId="1" xfId="0" applyNumberFormat="1" applyFont="1" applyBorder="1" applyAlignment="1">
      <alignment horizontal="left" indent="1"/>
    </xf>
    <xf numFmtId="3" fontId="1" fillId="0" borderId="1" xfId="0" applyNumberFormat="1" applyFont="1" applyBorder="1"/>
    <xf numFmtId="174" fontId="0" fillId="0" borderId="0" xfId="0" applyNumberFormat="1"/>
    <xf numFmtId="17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97DC-EDBD-3C40-A5F5-CB5EF91AA022}">
  <dimension ref="A4:C37"/>
  <sheetViews>
    <sheetView workbookViewId="0">
      <selection activeCell="B12" sqref="B12"/>
    </sheetView>
  </sheetViews>
  <sheetFormatPr baseColWidth="10" defaultRowHeight="16" x14ac:dyDescent="0.2"/>
  <cols>
    <col min="1" max="1" width="124.33203125" bestFit="1" customWidth="1"/>
  </cols>
  <sheetData>
    <row r="4" spans="1:3" x14ac:dyDescent="0.2">
      <c r="A4" s="1" t="s">
        <v>0</v>
      </c>
      <c r="B4" s="8" t="s">
        <v>2</v>
      </c>
      <c r="C4" s="8" t="s">
        <v>3</v>
      </c>
    </row>
    <row r="5" spans="1:3" x14ac:dyDescent="0.2">
      <c r="A5" s="1" t="s">
        <v>1</v>
      </c>
      <c r="B5" s="8"/>
      <c r="C5" s="8"/>
    </row>
    <row r="6" spans="1:3" x14ac:dyDescent="0.2">
      <c r="A6" s="2" t="s">
        <v>4</v>
      </c>
      <c r="B6" s="3"/>
      <c r="C6" s="3"/>
    </row>
    <row r="7" spans="1:3" x14ac:dyDescent="0.2">
      <c r="A7" s="2" t="s">
        <v>5</v>
      </c>
      <c r="B7" s="5">
        <v>948.3</v>
      </c>
      <c r="C7" s="5">
        <v>950.8</v>
      </c>
    </row>
    <row r="8" spans="1:3" x14ac:dyDescent="0.2">
      <c r="A8" s="2" t="s">
        <v>6</v>
      </c>
      <c r="B8" s="7">
        <v>1028.4000000000001</v>
      </c>
      <c r="C8" s="7">
        <v>1121.5999999999999</v>
      </c>
    </row>
    <row r="9" spans="1:3" x14ac:dyDescent="0.2">
      <c r="A9" s="2" t="s">
        <v>7</v>
      </c>
      <c r="B9" s="7">
        <v>1029.7</v>
      </c>
      <c r="C9" s="3">
        <v>864.4</v>
      </c>
    </row>
    <row r="10" spans="1:3" x14ac:dyDescent="0.2">
      <c r="A10" s="2" t="s">
        <v>8</v>
      </c>
      <c r="B10" s="3">
        <v>113.9</v>
      </c>
      <c r="C10" s="3">
        <v>125.9</v>
      </c>
    </row>
    <row r="11" spans="1:3" x14ac:dyDescent="0.2">
      <c r="A11" s="2" t="s">
        <v>9</v>
      </c>
      <c r="B11" s="7">
        <v>3120.3</v>
      </c>
      <c r="C11" s="7">
        <v>3062.7</v>
      </c>
    </row>
    <row r="12" spans="1:3" x14ac:dyDescent="0.2">
      <c r="A12" s="2" t="s">
        <v>10</v>
      </c>
      <c r="B12" s="3">
        <v>790.5</v>
      </c>
      <c r="C12" s="3">
        <v>756</v>
      </c>
    </row>
    <row r="13" spans="1:3" x14ac:dyDescent="0.2">
      <c r="A13" s="2" t="s">
        <v>11</v>
      </c>
      <c r="B13" s="7">
        <v>11586.9</v>
      </c>
      <c r="C13" s="7">
        <v>11586.9</v>
      </c>
    </row>
    <row r="14" spans="1:3" x14ac:dyDescent="0.2">
      <c r="A14" s="2" t="s">
        <v>12</v>
      </c>
      <c r="B14" s="7">
        <v>2710.6</v>
      </c>
      <c r="C14" s="7">
        <v>4004.1</v>
      </c>
    </row>
    <row r="15" spans="1:3" x14ac:dyDescent="0.2">
      <c r="A15" s="2" t="s">
        <v>13</v>
      </c>
      <c r="B15" s="3">
        <v>401.2</v>
      </c>
      <c r="C15" s="3">
        <v>311.89999999999998</v>
      </c>
    </row>
    <row r="16" spans="1:3" x14ac:dyDescent="0.2">
      <c r="A16" s="2" t="s">
        <v>14</v>
      </c>
      <c r="B16" s="7">
        <v>1595</v>
      </c>
      <c r="C16" s="7">
        <v>1506.9</v>
      </c>
    </row>
    <row r="17" spans="1:3" x14ac:dyDescent="0.2">
      <c r="A17" s="2" t="s">
        <v>15</v>
      </c>
      <c r="B17" s="7">
        <v>20204.5</v>
      </c>
      <c r="C17" s="7">
        <v>21228.5</v>
      </c>
    </row>
    <row r="18" spans="1:3" x14ac:dyDescent="0.2">
      <c r="A18" s="2" t="s">
        <v>16</v>
      </c>
      <c r="B18" s="3"/>
      <c r="C18" s="3"/>
    </row>
    <row r="19" spans="1:3" x14ac:dyDescent="0.2">
      <c r="A19" s="2" t="s">
        <v>17</v>
      </c>
      <c r="B19" s="3">
        <v>622.20000000000005</v>
      </c>
      <c r="C19" s="3">
        <v>411.3</v>
      </c>
    </row>
    <row r="20" spans="1:3" x14ac:dyDescent="0.2">
      <c r="A20" s="2" t="s">
        <v>18</v>
      </c>
      <c r="B20" s="3">
        <v>972.6</v>
      </c>
      <c r="C20" s="7">
        <v>1032.9000000000001</v>
      </c>
    </row>
    <row r="21" spans="1:3" x14ac:dyDescent="0.2">
      <c r="A21" s="2" t="s">
        <v>19</v>
      </c>
      <c r="B21" s="3">
        <v>302.5</v>
      </c>
      <c r="C21" s="3">
        <v>262.7</v>
      </c>
    </row>
    <row r="22" spans="1:3" x14ac:dyDescent="0.2">
      <c r="A22" s="2" t="s">
        <v>20</v>
      </c>
      <c r="B22" s="3">
        <v>129.5</v>
      </c>
      <c r="C22" s="3">
        <v>107.3</v>
      </c>
    </row>
    <row r="23" spans="1:3" x14ac:dyDescent="0.2">
      <c r="A23" s="2" t="s">
        <v>21</v>
      </c>
      <c r="B23" s="7">
        <v>2026.8</v>
      </c>
      <c r="C23" s="7">
        <v>1814.2</v>
      </c>
    </row>
    <row r="24" spans="1:3" x14ac:dyDescent="0.2">
      <c r="A24" s="2" t="s">
        <v>22</v>
      </c>
      <c r="B24" s="7">
        <v>3934.3</v>
      </c>
      <c r="C24" s="7">
        <v>4058.6</v>
      </c>
    </row>
    <row r="25" spans="1:3" x14ac:dyDescent="0.2">
      <c r="A25" s="2" t="s">
        <v>23</v>
      </c>
      <c r="B25" s="3">
        <v>816.4</v>
      </c>
      <c r="C25" s="3">
        <v>524.29999999999995</v>
      </c>
    </row>
    <row r="26" spans="1:3" x14ac:dyDescent="0.2">
      <c r="A26" s="2" t="s">
        <v>24</v>
      </c>
      <c r="B26" s="7">
        <v>6777.5</v>
      </c>
      <c r="C26" s="7">
        <v>6397.1</v>
      </c>
    </row>
    <row r="27" spans="1:3" x14ac:dyDescent="0.2">
      <c r="A27" s="2" t="s">
        <v>25</v>
      </c>
      <c r="B27" s="3"/>
      <c r="C27" s="3"/>
    </row>
    <row r="28" spans="1:3" x14ac:dyDescent="0.2">
      <c r="A28" s="2" t="s">
        <v>26</v>
      </c>
      <c r="B28" s="3"/>
      <c r="C28" s="3"/>
    </row>
    <row r="29" spans="1:3" x14ac:dyDescent="0.2">
      <c r="A29" s="2" t="s">
        <v>27</v>
      </c>
      <c r="B29" s="3">
        <v>0</v>
      </c>
      <c r="C29" s="3">
        <v>0</v>
      </c>
    </row>
    <row r="30" spans="1:3" x14ac:dyDescent="0.2">
      <c r="A30" s="2" t="s">
        <v>28</v>
      </c>
      <c r="B30" s="3">
        <v>1.7</v>
      </c>
      <c r="C30" s="3">
        <v>1.7</v>
      </c>
    </row>
    <row r="31" spans="1:3" x14ac:dyDescent="0.2">
      <c r="A31" s="2" t="s">
        <v>29</v>
      </c>
      <c r="B31" s="7">
        <v>14534.1</v>
      </c>
      <c r="C31" s="7">
        <v>14845.3</v>
      </c>
    </row>
    <row r="32" spans="1:3" x14ac:dyDescent="0.2">
      <c r="A32" s="2" t="s">
        <v>30</v>
      </c>
      <c r="B32" s="3">
        <v>0.4</v>
      </c>
      <c r="C32" s="3">
        <v>1.1000000000000001</v>
      </c>
    </row>
    <row r="33" spans="1:3" x14ac:dyDescent="0.2">
      <c r="A33" s="2" t="s">
        <v>31</v>
      </c>
      <c r="B33" s="7">
        <v>-1109.2</v>
      </c>
      <c r="C33" s="3">
        <v>-16.7</v>
      </c>
    </row>
    <row r="34" spans="1:3" x14ac:dyDescent="0.2">
      <c r="A34" s="2" t="s">
        <v>32</v>
      </c>
      <c r="B34" s="7">
        <v>13427</v>
      </c>
      <c r="C34" s="7">
        <v>14831.4</v>
      </c>
    </row>
    <row r="35" spans="1:3" x14ac:dyDescent="0.2">
      <c r="A35" s="2" t="s">
        <v>33</v>
      </c>
      <c r="B35" s="5">
        <v>20204.5</v>
      </c>
      <c r="C35" s="5">
        <v>21228.5</v>
      </c>
    </row>
    <row r="36" spans="1:3" x14ac:dyDescent="0.2">
      <c r="A36" s="9"/>
      <c r="B36" s="9"/>
      <c r="C36" s="9"/>
    </row>
    <row r="37" spans="1:3" x14ac:dyDescent="0.2">
      <c r="A37" s="9"/>
      <c r="B37" s="9"/>
      <c r="C37" s="9"/>
    </row>
  </sheetData>
  <mergeCells count="4">
    <mergeCell ref="B4:B5"/>
    <mergeCell ref="C4:C5"/>
    <mergeCell ref="A36:C36"/>
    <mergeCell ref="A37:C37"/>
  </mergeCells>
  <hyperlinks>
    <hyperlink ref="A6" r:id="rId1" display="javascript:void(0);" xr:uid="{4C537B59-A643-5D45-BC70-9515784E47B6}"/>
    <hyperlink ref="A7" r:id="rId2" display="javascript:void(0);" xr:uid="{C4B1623E-A5DA-2942-B511-88421FC5C64F}"/>
    <hyperlink ref="A8" r:id="rId3" display="javascript:void(0);" xr:uid="{98E32A9F-FDD8-9B46-AD84-043D0E0723C1}"/>
    <hyperlink ref="A9" r:id="rId4" display="javascript:void(0);" xr:uid="{1A8E650D-A92C-634C-9F54-906897FEFCAB}"/>
    <hyperlink ref="A10" r:id="rId5" display="javascript:void(0);" xr:uid="{D487C234-32A0-B24B-8B56-EF84D6C6B91B}"/>
    <hyperlink ref="A11" r:id="rId6" display="javascript:void(0);" xr:uid="{B99CC6F1-A254-B74A-8C07-1FAAFE2E0B69}"/>
    <hyperlink ref="A12" r:id="rId7" display="javascript:void(0);" xr:uid="{9D46F0F6-F874-CF4C-80D7-D6E56216C2B6}"/>
    <hyperlink ref="A13" r:id="rId8" display="javascript:void(0);" xr:uid="{6BDB4ED3-5304-EE4E-BB81-96FCEEC0BEB1}"/>
    <hyperlink ref="A14" r:id="rId9" display="javascript:void(0);" xr:uid="{24B38992-99BD-8E40-8AFF-0435AF92C4E8}"/>
    <hyperlink ref="A15" r:id="rId10" display="javascript:void(0);" xr:uid="{19834285-DC64-9B46-A6BF-C77DB56FE64B}"/>
    <hyperlink ref="A16" r:id="rId11" display="javascript:void(0);" xr:uid="{03527AFD-E7A6-3F40-B0FD-2DD320575335}"/>
    <hyperlink ref="A17" r:id="rId12" display="javascript:void(0);" xr:uid="{5115AB35-C772-2949-913E-19D6D0BDC727}"/>
    <hyperlink ref="A18" r:id="rId13" display="javascript:void(0);" xr:uid="{F860D305-71D1-A34D-8FD2-D884F88CD614}"/>
    <hyperlink ref="A19" r:id="rId14" display="javascript:void(0);" xr:uid="{50285D43-8EFD-8048-A93F-9A6B3B0104C5}"/>
    <hyperlink ref="A20" r:id="rId15" display="javascript:void(0);" xr:uid="{E1544918-67B1-F64E-AE3F-2B39D51C940D}"/>
    <hyperlink ref="A21" r:id="rId16" display="javascript:void(0);" xr:uid="{9D230EA1-76D2-4542-9E71-39F4957EF324}"/>
    <hyperlink ref="A22" r:id="rId17" display="javascript:void(0);" xr:uid="{AA855F59-CD98-8446-A7D0-9AA3847429AA}"/>
    <hyperlink ref="A23" r:id="rId18" display="javascript:void(0);" xr:uid="{A6928C78-0AA6-884F-9ECE-BBB04414DE72}"/>
    <hyperlink ref="A24" r:id="rId19" display="javascript:void(0);" xr:uid="{3DD68B70-D85F-5249-9EA8-9C91FA42B426}"/>
    <hyperlink ref="A25" r:id="rId20" display="javascript:void(0);" xr:uid="{DD9627FB-30AA-EE4A-B098-CEBA4ABB001D}"/>
    <hyperlink ref="A26" r:id="rId21" display="javascript:void(0);" xr:uid="{EB251C9B-9904-C54A-8FAA-115A057C12D4}"/>
    <hyperlink ref="A27" r:id="rId22" display="javascript:void(0);" xr:uid="{9DFB17AF-A85F-2F4C-B828-8AE0E64A057C}"/>
    <hyperlink ref="A28" r:id="rId23" display="javascript:void(0);" xr:uid="{8EC35374-B7DC-034C-86A0-C4F3E0B79CB8}"/>
    <hyperlink ref="A29" r:id="rId24" display="javascript:void(0);" xr:uid="{83F60CFF-5577-BD49-9A10-AE56D8F93812}"/>
    <hyperlink ref="A30" r:id="rId25" display="javascript:void(0);" xr:uid="{D7121B27-3CB8-1944-AF33-AEF7801872DB}"/>
    <hyperlink ref="A31" r:id="rId26" display="javascript:void(0);" xr:uid="{0682DEB9-7704-ED40-B362-056F54F66F4D}"/>
    <hyperlink ref="A32" r:id="rId27" display="javascript:void(0);" xr:uid="{AB32A831-9F94-C344-8B3B-08E87FE3704E}"/>
    <hyperlink ref="A33" r:id="rId28" display="javascript:void(0);" xr:uid="{5165699A-4059-EF47-AA37-CE1867AE650E}"/>
    <hyperlink ref="A34" r:id="rId29" display="javascript:void(0);" xr:uid="{9AE4E794-8EFC-9745-B990-62D573FF3EC6}"/>
    <hyperlink ref="A35" r:id="rId30" display="javascript:void(0);" xr:uid="{800FD494-85A6-B141-9386-2B2324E062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462E-A8BD-6045-82E5-021EF7BAC09E}">
  <dimension ref="A3:D29"/>
  <sheetViews>
    <sheetView workbookViewId="0">
      <selection activeCell="A29" sqref="A29:D29"/>
    </sheetView>
  </sheetViews>
  <sheetFormatPr baseColWidth="10" defaultRowHeight="16" x14ac:dyDescent="0.2"/>
  <cols>
    <col min="1" max="1" width="42.5" bestFit="1" customWidth="1"/>
  </cols>
  <sheetData>
    <row r="3" spans="1:4" x14ac:dyDescent="0.2">
      <c r="A3" s="1" t="s">
        <v>34</v>
      </c>
      <c r="B3" s="8" t="s">
        <v>36</v>
      </c>
    </row>
    <row r="4" spans="1:4" x14ac:dyDescent="0.2">
      <c r="A4" s="1" t="s">
        <v>35</v>
      </c>
      <c r="B4" s="8"/>
    </row>
    <row r="5" spans="1:4" x14ac:dyDescent="0.2">
      <c r="B5" s="1" t="s">
        <v>2</v>
      </c>
      <c r="C5" s="1" t="s">
        <v>3</v>
      </c>
      <c r="D5" s="1" t="s">
        <v>37</v>
      </c>
    </row>
    <row r="6" spans="1:4" x14ac:dyDescent="0.2">
      <c r="A6" s="2" t="s">
        <v>38</v>
      </c>
      <c r="B6" s="3"/>
      <c r="C6" s="3"/>
      <c r="D6" s="3"/>
    </row>
    <row r="7" spans="1:4" x14ac:dyDescent="0.2">
      <c r="A7" s="2" t="s">
        <v>39</v>
      </c>
      <c r="B7" s="5">
        <v>5767.3</v>
      </c>
      <c r="C7" s="5">
        <v>5507.7</v>
      </c>
      <c r="D7" s="5">
        <v>5919.6</v>
      </c>
    </row>
    <row r="8" spans="1:4" x14ac:dyDescent="0.2">
      <c r="A8" s="2" t="s">
        <v>40</v>
      </c>
      <c r="B8" s="7">
        <v>3385.1</v>
      </c>
      <c r="C8" s="7">
        <v>3214.1</v>
      </c>
      <c r="D8" s="7">
        <v>2932.1</v>
      </c>
    </row>
    <row r="9" spans="1:4" x14ac:dyDescent="0.2">
      <c r="A9" s="2" t="s">
        <v>41</v>
      </c>
      <c r="B9" s="7">
        <v>2382.1999999999998</v>
      </c>
      <c r="C9" s="7">
        <v>2293.6</v>
      </c>
      <c r="D9" s="7">
        <v>2987.5</v>
      </c>
    </row>
    <row r="10" spans="1:4" x14ac:dyDescent="0.2">
      <c r="A10" s="2" t="s">
        <v>42</v>
      </c>
      <c r="B10" s="3"/>
      <c r="C10" s="3"/>
      <c r="D10" s="3"/>
    </row>
    <row r="11" spans="1:4" x14ac:dyDescent="0.2">
      <c r="A11" s="2" t="s">
        <v>43</v>
      </c>
      <c r="B11" s="7">
        <v>1950.4</v>
      </c>
      <c r="C11" s="7">
        <v>1896.2</v>
      </c>
      <c r="D11" s="7">
        <v>1784.3</v>
      </c>
    </row>
    <row r="12" spans="1:4" x14ac:dyDescent="0.2">
      <c r="A12" s="2" t="s">
        <v>44</v>
      </c>
      <c r="B12" s="3">
        <v>798.2</v>
      </c>
      <c r="C12" s="3">
        <v>834</v>
      </c>
      <c r="D12" s="3">
        <v>843.6</v>
      </c>
    </row>
    <row r="13" spans="1:4" x14ac:dyDescent="0.2">
      <c r="A13" s="2" t="s">
        <v>45</v>
      </c>
      <c r="B13" s="3">
        <v>0</v>
      </c>
      <c r="C13" s="3">
        <v>0</v>
      </c>
      <c r="D13" s="3">
        <v>100</v>
      </c>
    </row>
    <row r="14" spans="1:4" x14ac:dyDescent="0.2">
      <c r="A14" s="2" t="s">
        <v>46</v>
      </c>
      <c r="B14" s="3">
        <v>353.9</v>
      </c>
      <c r="C14" s="3">
        <v>131.1</v>
      </c>
      <c r="D14" s="3">
        <v>21.6</v>
      </c>
    </row>
    <row r="15" spans="1:4" x14ac:dyDescent="0.2">
      <c r="A15" s="2" t="s">
        <v>47</v>
      </c>
      <c r="B15" s="7">
        <v>3102.5</v>
      </c>
      <c r="C15" s="7">
        <v>2861.3</v>
      </c>
      <c r="D15" s="7">
        <v>2749.5</v>
      </c>
    </row>
    <row r="16" spans="1:4" x14ac:dyDescent="0.2">
      <c r="A16" s="2" t="s">
        <v>48</v>
      </c>
      <c r="B16" s="3">
        <v>-720.3</v>
      </c>
      <c r="C16" s="3">
        <v>-567.70000000000005</v>
      </c>
      <c r="D16" s="3">
        <v>238</v>
      </c>
    </row>
    <row r="17" spans="1:4" x14ac:dyDescent="0.2">
      <c r="A17" s="2" t="s">
        <v>49</v>
      </c>
      <c r="B17" s="3">
        <v>-189.4</v>
      </c>
      <c r="C17" s="3">
        <v>-211.7</v>
      </c>
      <c r="D17" s="3">
        <v>-170.6</v>
      </c>
    </row>
    <row r="18" spans="1:4" x14ac:dyDescent="0.2">
      <c r="A18" s="2" t="s">
        <v>50</v>
      </c>
      <c r="B18" s="3">
        <v>15</v>
      </c>
      <c r="C18" s="3">
        <v>20.7</v>
      </c>
      <c r="D18" s="3">
        <v>17.7</v>
      </c>
    </row>
    <row r="19" spans="1:4" x14ac:dyDescent="0.2">
      <c r="A19" s="2" t="s">
        <v>51</v>
      </c>
      <c r="B19" s="3">
        <v>-174.4</v>
      </c>
      <c r="C19" s="3">
        <v>-191</v>
      </c>
      <c r="D19" s="3">
        <v>-152.9</v>
      </c>
    </row>
    <row r="20" spans="1:4" x14ac:dyDescent="0.2">
      <c r="A20" s="2" t="s">
        <v>52</v>
      </c>
      <c r="B20" s="3">
        <v>-894.7</v>
      </c>
      <c r="C20" s="3">
        <v>-758.7</v>
      </c>
      <c r="D20" s="3">
        <v>85.1</v>
      </c>
    </row>
    <row r="21" spans="1:4" x14ac:dyDescent="0.2">
      <c r="A21" s="2" t="s">
        <v>53</v>
      </c>
      <c r="B21" s="3">
        <v>-9.6999999999999993</v>
      </c>
      <c r="C21" s="3">
        <v>174.7</v>
      </c>
      <c r="D21" s="3">
        <v>248.6</v>
      </c>
    </row>
    <row r="22" spans="1:4" x14ac:dyDescent="0.2">
      <c r="A22" s="2" t="s">
        <v>54</v>
      </c>
      <c r="B22" s="5">
        <v>-885</v>
      </c>
      <c r="C22" s="5">
        <v>-933.4</v>
      </c>
      <c r="D22" s="5">
        <v>-163.5</v>
      </c>
    </row>
    <row r="23" spans="1:4" x14ac:dyDescent="0.2">
      <c r="A23" s="2" t="s">
        <v>55</v>
      </c>
      <c r="B23" s="5">
        <v>-1.02</v>
      </c>
      <c r="C23" s="5">
        <v>-1.08</v>
      </c>
      <c r="D23" s="5">
        <v>-0.19</v>
      </c>
    </row>
    <row r="24" spans="1:4" x14ac:dyDescent="0.2">
      <c r="A24" s="2" t="s">
        <v>56</v>
      </c>
      <c r="B24" s="5">
        <v>-1.02</v>
      </c>
      <c r="C24" s="5">
        <v>-1.08</v>
      </c>
      <c r="D24" s="5">
        <v>-0.19</v>
      </c>
    </row>
    <row r="25" spans="1:4" x14ac:dyDescent="0.2">
      <c r="A25" s="2" t="s">
        <v>57</v>
      </c>
      <c r="B25" s="3"/>
      <c r="C25" s="3"/>
      <c r="D25" s="3"/>
    </row>
    <row r="26" spans="1:4" x14ac:dyDescent="0.2">
      <c r="A26" s="2" t="s">
        <v>58</v>
      </c>
      <c r="B26" s="3">
        <v>865.5</v>
      </c>
      <c r="C26" s="3">
        <v>861.3</v>
      </c>
      <c r="D26" s="3">
        <v>851.4</v>
      </c>
    </row>
    <row r="27" spans="1:4" x14ac:dyDescent="0.2">
      <c r="A27" s="2" t="s">
        <v>59</v>
      </c>
      <c r="B27" s="3">
        <v>865.5</v>
      </c>
      <c r="C27" s="3">
        <v>861.3</v>
      </c>
      <c r="D27" s="3">
        <v>851.4</v>
      </c>
    </row>
    <row r="28" spans="1:4" x14ac:dyDescent="0.2">
      <c r="A28" s="9"/>
      <c r="B28" s="9"/>
      <c r="C28" s="9"/>
      <c r="D28" s="9"/>
    </row>
    <row r="29" spans="1:4" x14ac:dyDescent="0.2">
      <c r="A29" s="9"/>
      <c r="B29" s="9"/>
      <c r="C29" s="9"/>
      <c r="D29" s="9"/>
    </row>
  </sheetData>
  <mergeCells count="3">
    <mergeCell ref="B3:B4"/>
    <mergeCell ref="A28:D28"/>
    <mergeCell ref="A29:D29"/>
  </mergeCells>
  <hyperlinks>
    <hyperlink ref="A6" r:id="rId1" display="javascript:void(0);" xr:uid="{4BF20F44-E358-D44E-AD0B-D22CBCD16709}"/>
    <hyperlink ref="A7" r:id="rId2" display="javascript:void(0);" xr:uid="{23156150-E4C2-BB4B-8262-07FAD859FBE5}"/>
    <hyperlink ref="A8" r:id="rId3" display="javascript:void(0);" xr:uid="{46C1954C-A4B4-9B4D-8E48-EC1CA7625D58}"/>
    <hyperlink ref="A9" r:id="rId4" display="javascript:void(0);" xr:uid="{A5DA4DF7-9CC8-B24C-9C80-2D6C5B541301}"/>
    <hyperlink ref="A10" r:id="rId5" display="javascript:void(0);" xr:uid="{1889527A-F080-9649-B9DB-9C4F90156103}"/>
    <hyperlink ref="A11" r:id="rId6" display="javascript:void(0);" xr:uid="{3FECE2AC-020A-DF40-9B20-7E99D5F428BF}"/>
    <hyperlink ref="A12" r:id="rId7" display="javascript:void(0);" xr:uid="{452B684A-3BAF-1A4B-B719-92181F90EC5B}"/>
    <hyperlink ref="A13" r:id="rId8" display="javascript:void(0);" xr:uid="{81B88B4B-3A30-5A46-8FFF-40026835C0A8}"/>
    <hyperlink ref="A14" r:id="rId9" display="javascript:void(0);" xr:uid="{93FE10FC-255F-954F-BF48-66D3C17676FD}"/>
    <hyperlink ref="A15" r:id="rId10" display="javascript:void(0);" xr:uid="{868280D4-2570-1644-B906-7412EB772620}"/>
    <hyperlink ref="A16" r:id="rId11" display="javascript:void(0);" xr:uid="{A6D33E43-EB75-4144-9060-EEF6CF1D3207}"/>
    <hyperlink ref="A17" r:id="rId12" display="javascript:void(0);" xr:uid="{AA4970D2-41AF-8C41-85AD-24B4EE4D0034}"/>
    <hyperlink ref="A18" r:id="rId13" display="javascript:void(0);" xr:uid="{CA965EB2-2BE8-554B-B0B4-A1FC96EDF2C0}"/>
    <hyperlink ref="A19" r:id="rId14" display="javascript:void(0);" xr:uid="{A9CBFD3C-C459-5A47-B803-F61FB03C974B}"/>
    <hyperlink ref="A20" r:id="rId15" display="javascript:void(0);" xr:uid="{A6427A69-4C98-8B44-A78E-2A0F284EA44A}"/>
    <hyperlink ref="A21" r:id="rId16" display="javascript:void(0);" xr:uid="{2AAD2630-C4E9-BD46-BAD7-ACA4B2DEBAB6}"/>
    <hyperlink ref="A22" r:id="rId17" display="javascript:void(0);" xr:uid="{885F1247-2CB4-814E-A916-3F99FE5B48A9}"/>
    <hyperlink ref="A23" r:id="rId18" display="javascript:void(0);" xr:uid="{46DEDFE9-F3E9-F54E-BEDC-EB486CDB6BC5}"/>
    <hyperlink ref="A24" r:id="rId19" display="javascript:void(0);" xr:uid="{63AB90D0-0778-7844-8AE4-BB7BFAFF6581}"/>
    <hyperlink ref="A25" r:id="rId20" display="javascript:void(0);" xr:uid="{86D034AA-CE6C-EB44-83A3-89CED93523B0}"/>
    <hyperlink ref="A26" r:id="rId21" display="javascript:void(0);" xr:uid="{8AA3756D-667C-B44D-AD37-B500F8E8A0D8}"/>
    <hyperlink ref="A27" r:id="rId22" display="javascript:void(0);" xr:uid="{6FCFD273-14F4-E548-AB51-2EAEE923FD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800-E272-2645-98C9-5FD52334909F}">
  <dimension ref="A3:D44"/>
  <sheetViews>
    <sheetView topLeftCell="A3" workbookViewId="0">
      <selection activeCell="A28" sqref="A28"/>
    </sheetView>
  </sheetViews>
  <sheetFormatPr baseColWidth="10" defaultRowHeight="16" x14ac:dyDescent="0.2"/>
  <cols>
    <col min="1" max="1" width="66" bestFit="1" customWidth="1"/>
  </cols>
  <sheetData>
    <row r="3" spans="1:4" x14ac:dyDescent="0.2">
      <c r="A3" s="1" t="s">
        <v>60</v>
      </c>
      <c r="B3" s="8" t="s">
        <v>36</v>
      </c>
    </row>
    <row r="4" spans="1:4" x14ac:dyDescent="0.2">
      <c r="A4" s="1" t="s">
        <v>1</v>
      </c>
      <c r="B4" s="8"/>
    </row>
    <row r="5" spans="1:4" x14ac:dyDescent="0.2">
      <c r="A5" s="1" t="s">
        <v>2</v>
      </c>
      <c r="B5" s="1" t="s">
        <v>3</v>
      </c>
      <c r="C5" s="1" t="s">
        <v>37</v>
      </c>
    </row>
    <row r="6" spans="1:4" x14ac:dyDescent="0.2">
      <c r="A6" s="2" t="s">
        <v>61</v>
      </c>
      <c r="B6" s="3"/>
      <c r="C6" s="3"/>
      <c r="D6" s="3"/>
    </row>
    <row r="7" spans="1:4" x14ac:dyDescent="0.2">
      <c r="A7" s="2" t="s">
        <v>54</v>
      </c>
      <c r="B7" s="5">
        <v>-885</v>
      </c>
      <c r="C7" s="5">
        <v>-933.4</v>
      </c>
      <c r="D7" s="5">
        <v>-163.5</v>
      </c>
    </row>
    <row r="8" spans="1:4" x14ac:dyDescent="0.2">
      <c r="A8" s="2" t="s">
        <v>62</v>
      </c>
      <c r="B8" s="3"/>
      <c r="C8" s="3"/>
      <c r="D8" s="3"/>
    </row>
    <row r="9" spans="1:4" x14ac:dyDescent="0.2">
      <c r="A9" s="2" t="s">
        <v>63</v>
      </c>
      <c r="B9" s="3">
        <v>304.3</v>
      </c>
      <c r="C9" s="3">
        <v>299.8</v>
      </c>
      <c r="D9" s="3">
        <v>304.89999999999998</v>
      </c>
    </row>
    <row r="10" spans="1:4" x14ac:dyDescent="0.2">
      <c r="A10" s="2" t="s">
        <v>64</v>
      </c>
      <c r="B10" s="3">
        <v>597.4</v>
      </c>
      <c r="C10" s="3">
        <v>609.79999999999995</v>
      </c>
      <c r="D10" s="3">
        <v>552.4</v>
      </c>
    </row>
    <row r="11" spans="1:4" x14ac:dyDescent="0.2">
      <c r="A11" s="2" t="s">
        <v>65</v>
      </c>
      <c r="B11" s="7">
        <v>1052.5999999999999</v>
      </c>
      <c r="C11" s="7">
        <v>1097.9000000000001</v>
      </c>
      <c r="D11" s="7">
        <v>1087.4000000000001</v>
      </c>
    </row>
    <row r="12" spans="1:4" x14ac:dyDescent="0.2">
      <c r="A12" s="2" t="s">
        <v>66</v>
      </c>
      <c r="B12" s="3">
        <v>0</v>
      </c>
      <c r="C12" s="3">
        <v>0</v>
      </c>
      <c r="D12" s="3">
        <v>38.700000000000003</v>
      </c>
    </row>
    <row r="13" spans="1:4" x14ac:dyDescent="0.2">
      <c r="A13" s="2" t="s">
        <v>67</v>
      </c>
      <c r="B13" s="3">
        <v>528.79999999999995</v>
      </c>
      <c r="C13" s="3">
        <v>32.9</v>
      </c>
      <c r="D13" s="3">
        <v>5.6</v>
      </c>
    </row>
    <row r="14" spans="1:4" x14ac:dyDescent="0.2">
      <c r="A14" s="2" t="s">
        <v>68</v>
      </c>
      <c r="B14" s="3">
        <v>-111.9</v>
      </c>
      <c r="C14" s="3">
        <v>150.80000000000001</v>
      </c>
      <c r="D14" s="3">
        <v>50.4</v>
      </c>
    </row>
    <row r="15" spans="1:4" x14ac:dyDescent="0.2">
      <c r="A15" s="2" t="s">
        <v>69</v>
      </c>
      <c r="B15" s="3">
        <v>65.900000000000006</v>
      </c>
      <c r="C15" s="3">
        <v>54.9</v>
      </c>
      <c r="D15" s="3">
        <v>62.7</v>
      </c>
    </row>
    <row r="16" spans="1:4" x14ac:dyDescent="0.2">
      <c r="A16" s="2" t="s">
        <v>70</v>
      </c>
      <c r="B16" s="3"/>
      <c r="C16" s="3"/>
      <c r="D16" s="3"/>
    </row>
    <row r="17" spans="1:4" x14ac:dyDescent="0.2">
      <c r="A17" s="2" t="s">
        <v>71</v>
      </c>
      <c r="B17" s="3">
        <v>93.2</v>
      </c>
      <c r="C17" s="3">
        <v>70.599999999999994</v>
      </c>
      <c r="D17" s="3">
        <v>-142.69999999999999</v>
      </c>
    </row>
    <row r="18" spans="1:4" x14ac:dyDescent="0.2">
      <c r="A18" s="2" t="s">
        <v>72</v>
      </c>
      <c r="B18" s="3">
        <v>3.4</v>
      </c>
      <c r="C18" s="3">
        <v>-93.1</v>
      </c>
      <c r="D18" s="3">
        <v>-480.4</v>
      </c>
    </row>
    <row r="19" spans="1:4" x14ac:dyDescent="0.2">
      <c r="A19" s="2" t="s">
        <v>7</v>
      </c>
      <c r="B19" s="3">
        <v>-230</v>
      </c>
      <c r="C19" s="3">
        <v>201.9</v>
      </c>
      <c r="D19" s="3">
        <v>-385.9</v>
      </c>
    </row>
    <row r="20" spans="1:4" x14ac:dyDescent="0.2">
      <c r="A20" s="2" t="s">
        <v>17</v>
      </c>
      <c r="B20" s="3">
        <v>181.5</v>
      </c>
      <c r="C20" s="3">
        <v>-149.1</v>
      </c>
      <c r="D20" s="3">
        <v>-87.8</v>
      </c>
    </row>
    <row r="21" spans="1:4" x14ac:dyDescent="0.2">
      <c r="A21" s="2" t="s">
        <v>19</v>
      </c>
      <c r="B21" s="3">
        <v>43.5</v>
      </c>
      <c r="C21" s="3">
        <v>18.3</v>
      </c>
      <c r="D21" s="3">
        <v>2.5</v>
      </c>
    </row>
    <row r="22" spans="1:4" x14ac:dyDescent="0.2">
      <c r="A22" s="2" t="s">
        <v>73</v>
      </c>
      <c r="B22" s="3">
        <v>37.5</v>
      </c>
      <c r="C22" s="3">
        <v>9.1999999999999993</v>
      </c>
      <c r="D22" s="3">
        <v>444.5</v>
      </c>
    </row>
    <row r="23" spans="1:4" x14ac:dyDescent="0.2">
      <c r="A23" s="2" t="s">
        <v>74</v>
      </c>
      <c r="B23" s="7">
        <v>1681.2</v>
      </c>
      <c r="C23" s="7">
        <v>1370.5</v>
      </c>
      <c r="D23" s="7">
        <v>1288.8</v>
      </c>
    </row>
    <row r="24" spans="1:4" x14ac:dyDescent="0.2">
      <c r="A24" s="2" t="s">
        <v>75</v>
      </c>
      <c r="B24" s="3"/>
      <c r="C24" s="3"/>
      <c r="D24" s="3"/>
    </row>
    <row r="25" spans="1:4" x14ac:dyDescent="0.2">
      <c r="A25" s="2" t="s">
        <v>76</v>
      </c>
      <c r="B25" s="3">
        <v>-7</v>
      </c>
      <c r="C25" s="3">
        <v>-13.9</v>
      </c>
      <c r="D25" s="3">
        <v>-11.1</v>
      </c>
    </row>
    <row r="26" spans="1:4" x14ac:dyDescent="0.2">
      <c r="A26" s="2" t="s">
        <v>77</v>
      </c>
      <c r="B26" s="3">
        <v>-284.60000000000002</v>
      </c>
      <c r="C26" s="3">
        <v>-336.3</v>
      </c>
      <c r="D26" s="3">
        <v>-206.2</v>
      </c>
    </row>
    <row r="27" spans="1:4" x14ac:dyDescent="0.2">
      <c r="A27" s="2" t="s">
        <v>78</v>
      </c>
      <c r="B27" s="3">
        <v>-10.4</v>
      </c>
      <c r="C27" s="3">
        <v>0</v>
      </c>
      <c r="D27" s="3">
        <v>-112.3</v>
      </c>
    </row>
    <row r="28" spans="1:4" x14ac:dyDescent="0.2">
      <c r="A28" s="2" t="s">
        <v>79</v>
      </c>
      <c r="B28" s="3">
        <v>1.3</v>
      </c>
      <c r="C28" s="3">
        <v>-0.3</v>
      </c>
      <c r="D28" s="3">
        <v>1.2</v>
      </c>
    </row>
    <row r="29" spans="1:4" x14ac:dyDescent="0.2">
      <c r="A29" s="2" t="s">
        <v>80</v>
      </c>
      <c r="B29" s="3">
        <v>-300.7</v>
      </c>
      <c r="C29" s="3">
        <v>-350.5</v>
      </c>
      <c r="D29" s="3">
        <v>-328.4</v>
      </c>
    </row>
    <row r="30" spans="1:4" x14ac:dyDescent="0.2">
      <c r="A30" s="2" t="s">
        <v>81</v>
      </c>
      <c r="B30" s="3"/>
      <c r="C30" s="3"/>
      <c r="D30" s="3"/>
    </row>
    <row r="31" spans="1:4" x14ac:dyDescent="0.2">
      <c r="A31" s="2" t="s">
        <v>82</v>
      </c>
      <c r="B31" s="3">
        <v>-725</v>
      </c>
      <c r="C31" s="3">
        <v>-150</v>
      </c>
      <c r="D31" s="3">
        <v>-115</v>
      </c>
    </row>
    <row r="32" spans="1:4" x14ac:dyDescent="0.2">
      <c r="A32" s="2" t="s">
        <v>83</v>
      </c>
      <c r="B32" s="3">
        <v>87.6</v>
      </c>
      <c r="C32" s="3">
        <v>99.2</v>
      </c>
      <c r="D32" s="3">
        <v>91.3</v>
      </c>
    </row>
    <row r="33" spans="1:4" x14ac:dyDescent="0.2">
      <c r="A33" s="2" t="s">
        <v>84</v>
      </c>
      <c r="B33" s="3">
        <v>-274.89999999999998</v>
      </c>
      <c r="C33" s="3">
        <v>-223.7</v>
      </c>
      <c r="D33" s="3">
        <v>-227.6</v>
      </c>
    </row>
    <row r="34" spans="1:4" x14ac:dyDescent="0.2">
      <c r="A34" s="2" t="s">
        <v>85</v>
      </c>
      <c r="B34" s="3">
        <v>-207.5</v>
      </c>
      <c r="C34" s="3">
        <v>-206.8</v>
      </c>
      <c r="D34" s="3">
        <v>-204.4</v>
      </c>
    </row>
    <row r="35" spans="1:4" x14ac:dyDescent="0.2">
      <c r="A35" s="2" t="s">
        <v>86</v>
      </c>
      <c r="B35" s="3">
        <v>-153.6</v>
      </c>
      <c r="C35" s="3">
        <v>-150.30000000000001</v>
      </c>
      <c r="D35" s="3">
        <v>-142.5</v>
      </c>
    </row>
    <row r="36" spans="1:4" x14ac:dyDescent="0.2">
      <c r="A36" s="2" t="s">
        <v>87</v>
      </c>
      <c r="B36" s="3">
        <v>0</v>
      </c>
      <c r="C36" s="7">
        <v>1295.3</v>
      </c>
      <c r="D36" s="3">
        <v>200</v>
      </c>
    </row>
    <row r="37" spans="1:4" x14ac:dyDescent="0.2">
      <c r="A37" s="2" t="s">
        <v>88</v>
      </c>
      <c r="B37" s="3">
        <v>-109.4</v>
      </c>
      <c r="C37" s="7">
        <v>-1622.5</v>
      </c>
      <c r="D37" s="3">
        <v>-265.60000000000002</v>
      </c>
    </row>
    <row r="38" spans="1:4" x14ac:dyDescent="0.2">
      <c r="A38" s="2" t="s">
        <v>79</v>
      </c>
      <c r="B38" s="3">
        <v>-0.2</v>
      </c>
      <c r="C38" s="3">
        <v>-21.4</v>
      </c>
      <c r="D38" s="3">
        <v>0.9</v>
      </c>
    </row>
    <row r="39" spans="1:4" x14ac:dyDescent="0.2">
      <c r="A39" s="2" t="s">
        <v>89</v>
      </c>
      <c r="B39" s="7">
        <v>-1383</v>
      </c>
      <c r="C39" s="3">
        <v>-980.2</v>
      </c>
      <c r="D39" s="3">
        <v>-662.9</v>
      </c>
    </row>
    <row r="40" spans="1:4" x14ac:dyDescent="0.2">
      <c r="A40" s="2" t="s">
        <v>90</v>
      </c>
      <c r="B40" s="3">
        <v>-2.5</v>
      </c>
      <c r="C40" s="3">
        <v>39.799999999999997</v>
      </c>
      <c r="D40" s="3">
        <v>297.5</v>
      </c>
    </row>
    <row r="41" spans="1:4" x14ac:dyDescent="0.2">
      <c r="A41" s="2" t="s">
        <v>91</v>
      </c>
      <c r="B41" s="3">
        <v>950.8</v>
      </c>
      <c r="C41" s="3">
        <v>911</v>
      </c>
      <c r="D41" s="3">
        <v>613.5</v>
      </c>
    </row>
    <row r="42" spans="1:4" x14ac:dyDescent="0.2">
      <c r="A42" s="2" t="s">
        <v>92</v>
      </c>
      <c r="B42" s="5">
        <v>948.3</v>
      </c>
      <c r="C42" s="5">
        <v>950.8</v>
      </c>
      <c r="D42" s="5">
        <v>911</v>
      </c>
    </row>
    <row r="43" spans="1:4" x14ac:dyDescent="0.2">
      <c r="A43" s="9"/>
      <c r="B43" s="9"/>
      <c r="C43" s="9"/>
      <c r="D43" s="9"/>
    </row>
    <row r="44" spans="1:4" x14ac:dyDescent="0.2">
      <c r="A44" s="9"/>
      <c r="B44" s="9"/>
      <c r="C44" s="9"/>
      <c r="D44" s="9"/>
    </row>
  </sheetData>
  <mergeCells count="3">
    <mergeCell ref="B3:B4"/>
    <mergeCell ref="A43:D43"/>
    <mergeCell ref="A44:D44"/>
  </mergeCells>
  <hyperlinks>
    <hyperlink ref="A6" r:id="rId1" display="javascript:void(0);" xr:uid="{94B91AD3-06FC-2548-8FCF-65296829CCEE}"/>
    <hyperlink ref="A7" r:id="rId2" display="javascript:void(0);" xr:uid="{A7BF4DC1-A195-5344-AD12-5FD2838E3DDA}"/>
    <hyperlink ref="A8" r:id="rId3" display="javascript:void(0);" xr:uid="{1E9711C3-A9E6-F14A-8038-C30FEEC7C1E7}"/>
    <hyperlink ref="A9" r:id="rId4" display="javascript:void(0);" xr:uid="{0079D84B-05BC-C24E-A2BC-8C3DC7BC6DF0}"/>
    <hyperlink ref="A10" r:id="rId5" display="javascript:void(0);" xr:uid="{C54262F7-AD85-C94F-B4EB-D1A3BB5B038E}"/>
    <hyperlink ref="A11" r:id="rId6" display="javascript:void(0);" xr:uid="{DC87FFE9-6D2F-F440-A20E-7F355539FC6D}"/>
    <hyperlink ref="A12" r:id="rId7" display="javascript:void(0);" xr:uid="{B743AD67-9EAC-6443-AE04-B7520122AE13}"/>
    <hyperlink ref="A13" r:id="rId8" display="javascript:void(0);" xr:uid="{8601A7E0-6BA5-E449-A2FA-F5EBDE8F4338}"/>
    <hyperlink ref="A14" r:id="rId9" display="javascript:void(0);" xr:uid="{81942663-1C00-C24B-B12F-88FC0F9E49EE}"/>
    <hyperlink ref="A15" r:id="rId10" display="javascript:void(0);" xr:uid="{15F97169-FFB8-1D46-80DA-3BFFC6A6C7EE}"/>
    <hyperlink ref="A16" r:id="rId11" display="javascript:void(0);" xr:uid="{4B19D953-14FE-1F42-AE9F-9B04C23563A9}"/>
    <hyperlink ref="A17" r:id="rId12" display="javascript:void(0);" xr:uid="{59F4D26C-D417-4E4C-9927-8B2EF796EF4D}"/>
    <hyperlink ref="A18" r:id="rId13" display="javascript:void(0);" xr:uid="{148D4BD6-EFB3-A141-866E-3AC0CF4C19E1}"/>
    <hyperlink ref="A19" r:id="rId14" display="javascript:void(0);" xr:uid="{4AD32871-126F-384E-BB55-899EF5937412}"/>
    <hyperlink ref="A20" r:id="rId15" display="javascript:void(0);" xr:uid="{D05A1B17-59D3-2A45-A6BC-C72F4DDE1D0C}"/>
    <hyperlink ref="A21" r:id="rId16" display="javascript:void(0);" xr:uid="{D87235BC-36E3-2940-BE82-50D69CC79CEC}"/>
    <hyperlink ref="A22" r:id="rId17" display="javascript:void(0);" xr:uid="{86E7961D-4195-AE45-943C-3E70A627B437}"/>
    <hyperlink ref="A23" r:id="rId18" display="javascript:void(0);" xr:uid="{2A87ABF0-32F5-EE4D-99D2-F4C76E490D27}"/>
    <hyperlink ref="A24" r:id="rId19" display="javascript:void(0);" xr:uid="{BE3D4BE4-4711-074F-A0B5-14B9E3490051}"/>
    <hyperlink ref="A25" r:id="rId20" display="javascript:void(0);" xr:uid="{54943838-D853-5D41-B0E6-ADE38FFC2A39}"/>
    <hyperlink ref="A26" r:id="rId21" display="javascript:void(0);" xr:uid="{0E1CDB5E-A21C-344C-B0E6-48E0DA262221}"/>
    <hyperlink ref="A27" r:id="rId22" display="javascript:void(0);" xr:uid="{0B97178F-2BEF-B949-901B-F4E667D3A0DE}"/>
    <hyperlink ref="A28" r:id="rId23" display="javascript:void(0);" xr:uid="{E3492A31-A7F3-8546-89C2-90BBCDA7117C}"/>
    <hyperlink ref="A29" r:id="rId24" display="javascript:void(0);" xr:uid="{2A1429A9-A438-EE4E-AA62-2852569AFD51}"/>
    <hyperlink ref="A30" r:id="rId25" display="javascript:void(0);" xr:uid="{ECA38400-AD6F-9549-BEC0-AE6070967E90}"/>
    <hyperlink ref="A31" r:id="rId26" display="javascript:void(0);" xr:uid="{CD67146F-1F75-9B41-9B67-D7DBFD689128}"/>
    <hyperlink ref="A32" r:id="rId27" display="javascript:void(0);" xr:uid="{4B604D9F-84FB-4E42-8620-61CF72806D28}"/>
    <hyperlink ref="A33" r:id="rId28" display="javascript:void(0);" xr:uid="{E93E4801-0A51-D04B-86E9-B9FB88D30410}"/>
    <hyperlink ref="A34" r:id="rId29" display="javascript:void(0);" xr:uid="{8F43F29D-FB5D-D14D-B8BC-6CD9D299A414}"/>
    <hyperlink ref="A35" r:id="rId30" display="javascript:void(0);" xr:uid="{70FE9988-DFE4-5F42-A511-2C78F3CF9C26}"/>
    <hyperlink ref="A36" r:id="rId31" display="javascript:void(0);" xr:uid="{040F3696-AA2A-5A4C-83DD-7183463FA4D7}"/>
    <hyperlink ref="A37" r:id="rId32" display="javascript:void(0);" xr:uid="{5FD1A3EF-6867-0F4E-A549-B671F4293011}"/>
    <hyperlink ref="A38" r:id="rId33" display="javascript:void(0);" xr:uid="{805E2672-FE80-924B-9329-D1D2FF6625BE}"/>
    <hyperlink ref="A39" r:id="rId34" display="javascript:void(0);" xr:uid="{74DB049F-A08B-CC4F-ADC5-EB35C11D91C6}"/>
    <hyperlink ref="A40" r:id="rId35" display="javascript:void(0);" xr:uid="{E7596D89-5DCE-BE40-A595-1E99EA0D06E5}"/>
    <hyperlink ref="A41" r:id="rId36" display="javascript:void(0);" xr:uid="{8613089E-6B9F-9445-B336-A860E6B79CAF}"/>
    <hyperlink ref="A42" r:id="rId37" display="javascript:void(0);" xr:uid="{35ED228C-E6E2-D146-B132-156885A33A0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A36F-ECE3-D546-B0B3-BE49547611F7}">
  <dimension ref="B6:M89"/>
  <sheetViews>
    <sheetView showGridLines="0" tabSelected="1" topLeftCell="A45" zoomScale="94" zoomScaleNormal="80" workbookViewId="0">
      <selection activeCell="N90" sqref="N90"/>
    </sheetView>
  </sheetViews>
  <sheetFormatPr baseColWidth="10" defaultRowHeight="16" x14ac:dyDescent="0.2"/>
  <cols>
    <col min="2" max="2" width="30.6640625" customWidth="1"/>
    <col min="8" max="8" width="12.5" bestFit="1" customWidth="1"/>
    <col min="9" max="11" width="13.6640625" bestFit="1" customWidth="1"/>
    <col min="12" max="12" width="12.6640625" bestFit="1" customWidth="1"/>
  </cols>
  <sheetData>
    <row r="6" spans="2:13" x14ac:dyDescent="0.2">
      <c r="B6" s="10" t="s">
        <v>93</v>
      </c>
      <c r="E6" s="12" t="s">
        <v>95</v>
      </c>
      <c r="F6" s="12"/>
      <c r="G6" s="12"/>
      <c r="H6" s="20" t="s">
        <v>106</v>
      </c>
      <c r="I6" s="20"/>
      <c r="J6" s="20"/>
      <c r="K6" s="20"/>
      <c r="L6" s="20"/>
      <c r="M6" s="20"/>
    </row>
    <row r="7" spans="2:13" x14ac:dyDescent="0.2">
      <c r="E7" s="11">
        <v>2023</v>
      </c>
      <c r="F7" s="11">
        <f>E7+1</f>
        <v>2024</v>
      </c>
      <c r="G7" s="11">
        <f>F7+1</f>
        <v>2025</v>
      </c>
      <c r="H7" s="11">
        <f t="shared" ref="H7:L7" si="0">G7+1</f>
        <v>2026</v>
      </c>
      <c r="I7" s="11">
        <f t="shared" si="0"/>
        <v>2027</v>
      </c>
      <c r="J7" s="11">
        <f t="shared" si="0"/>
        <v>2028</v>
      </c>
      <c r="K7" s="11">
        <f t="shared" si="0"/>
        <v>2029</v>
      </c>
      <c r="L7" s="11">
        <f t="shared" si="0"/>
        <v>2030</v>
      </c>
      <c r="M7" s="11" t="s">
        <v>100</v>
      </c>
    </row>
    <row r="8" spans="2:13" x14ac:dyDescent="0.2">
      <c r="B8" s="25" t="s">
        <v>113</v>
      </c>
      <c r="E8" s="11"/>
      <c r="F8" s="11"/>
      <c r="G8" s="11"/>
      <c r="H8" s="11"/>
      <c r="I8" s="11"/>
      <c r="J8" s="11"/>
      <c r="K8" s="11"/>
      <c r="L8" s="11"/>
    </row>
    <row r="9" spans="2:13" x14ac:dyDescent="0.2">
      <c r="B9" t="s">
        <v>94</v>
      </c>
      <c r="E9" s="15">
        <f>'Income Statement'!D7</f>
        <v>5919.6</v>
      </c>
      <c r="F9" s="15">
        <f>'Income Statement'!C7</f>
        <v>5507.7</v>
      </c>
      <c r="G9" s="15">
        <f>'Income Statement'!B7</f>
        <v>5767.3</v>
      </c>
      <c r="H9" s="4">
        <f>G9*(1+H10)</f>
        <v>6632.3949999999995</v>
      </c>
      <c r="I9" s="4">
        <f t="shared" ref="I9:L9" si="1">H9*(1+I10)</f>
        <v>7958.8739999999989</v>
      </c>
      <c r="J9" s="4">
        <f t="shared" si="1"/>
        <v>10346.536199999999</v>
      </c>
      <c r="K9" s="4">
        <f t="shared" si="1"/>
        <v>14485.150679999997</v>
      </c>
      <c r="L9" s="4">
        <f t="shared" si="1"/>
        <v>18106.438349999997</v>
      </c>
    </row>
    <row r="10" spans="2:13" x14ac:dyDescent="0.2">
      <c r="B10" s="13" t="s">
        <v>96</v>
      </c>
      <c r="E10" s="28">
        <v>0.3</v>
      </c>
      <c r="F10" s="14">
        <f>F9/E9 -1</f>
        <v>-6.9582404216501192E-2</v>
      </c>
      <c r="G10" s="14">
        <f>G9/F9 -1</f>
        <v>4.7134012382664237E-2</v>
      </c>
      <c r="H10" s="28">
        <v>0.15</v>
      </c>
      <c r="I10" s="28">
        <v>0.2</v>
      </c>
      <c r="J10" s="28">
        <v>0.3</v>
      </c>
      <c r="K10" s="28">
        <v>0.4</v>
      </c>
      <c r="L10" s="28">
        <v>0.25</v>
      </c>
    </row>
    <row r="11" spans="2:13" x14ac:dyDescent="0.2">
      <c r="B11" t="s">
        <v>97</v>
      </c>
      <c r="E11" s="16">
        <f>'Income Statement'!D8</f>
        <v>2932.1</v>
      </c>
      <c r="F11" s="16">
        <f>'Income Statement'!C8</f>
        <v>3214.1</v>
      </c>
      <c r="G11" s="16">
        <f>'Income Statement'!B8</f>
        <v>3385.1</v>
      </c>
      <c r="H11" s="4">
        <f>H12*H9</f>
        <v>3682.8198372925076</v>
      </c>
      <c r="I11" s="4">
        <f t="shared" ref="I11:L11" si="2">I12*I9</f>
        <v>4578.4469123485987</v>
      </c>
      <c r="J11" s="4">
        <f t="shared" si="2"/>
        <v>5923.3497774098305</v>
      </c>
      <c r="K11" s="4">
        <f t="shared" si="2"/>
        <v>8222.9138644983486</v>
      </c>
      <c r="L11" s="4">
        <f t="shared" si="2"/>
        <v>10353.490388894399</v>
      </c>
    </row>
    <row r="12" spans="2:13" s="13" customFormat="1" x14ac:dyDescent="0.2">
      <c r="B12" s="13" t="s">
        <v>98</v>
      </c>
      <c r="C12"/>
      <c r="D12"/>
      <c r="E12" s="17">
        <f>E11/E$9</f>
        <v>0.49532062977228186</v>
      </c>
      <c r="F12" s="17">
        <f>F11/F$9</f>
        <v>0.58356482742342541</v>
      </c>
      <c r="G12" s="17">
        <f>G11/G$9</f>
        <v>0.58694709829556291</v>
      </c>
      <c r="H12" s="17">
        <f>AVERAGE(E12:G12)</f>
        <v>0.55527751849709006</v>
      </c>
      <c r="I12" s="17">
        <f t="shared" ref="I12:L12" si="3">AVERAGE(F12:H12)</f>
        <v>0.57526314807202616</v>
      </c>
      <c r="J12" s="17">
        <f t="shared" si="3"/>
        <v>0.57249592162155982</v>
      </c>
      <c r="K12" s="17">
        <f t="shared" si="3"/>
        <v>0.56767886273022539</v>
      </c>
      <c r="L12" s="17">
        <f t="shared" si="3"/>
        <v>0.57181264414127042</v>
      </c>
    </row>
    <row r="14" spans="2:13" s="10" customFormat="1" x14ac:dyDescent="0.2">
      <c r="B14" s="10" t="s">
        <v>99</v>
      </c>
      <c r="E14" s="19">
        <f>E9-E11</f>
        <v>2987.5000000000005</v>
      </c>
      <c r="F14" s="19">
        <f t="shared" ref="F14:G14" si="4">F9-F11</f>
        <v>2293.6</v>
      </c>
      <c r="G14" s="19">
        <f t="shared" si="4"/>
        <v>2382.2000000000003</v>
      </c>
      <c r="H14" s="19">
        <f>H9-H11</f>
        <v>2949.5751627074919</v>
      </c>
      <c r="I14" s="19">
        <f>I9-I11</f>
        <v>3380.4270876514001</v>
      </c>
      <c r="J14" s="19">
        <f>J9-J11</f>
        <v>4423.1864225901681</v>
      </c>
      <c r="K14" s="19">
        <f>K9-K11</f>
        <v>6262.2368155016484</v>
      </c>
      <c r="L14" s="19">
        <f>L9-L11</f>
        <v>7752.9479611055976</v>
      </c>
    </row>
    <row r="15" spans="2:13" s="10" customFormat="1" x14ac:dyDescent="0.2">
      <c r="B15" s="23" t="s">
        <v>98</v>
      </c>
      <c r="E15" s="24">
        <f>E14/E$9</f>
        <v>0.50467937022771814</v>
      </c>
      <c r="F15" s="24">
        <f>F14/F$9</f>
        <v>0.41643517257657459</v>
      </c>
      <c r="G15" s="24">
        <f>G14/G$9</f>
        <v>0.41305290170443709</v>
      </c>
      <c r="H15" s="24">
        <f>H14/H$9</f>
        <v>0.44472248150290988</v>
      </c>
      <c r="I15" s="24">
        <f>I14/I$9</f>
        <v>0.42473685192797384</v>
      </c>
      <c r="J15" s="24">
        <f>J14/J$9</f>
        <v>0.42750407837844018</v>
      </c>
      <c r="K15" s="24">
        <f>K14/K$9</f>
        <v>0.43232113726977467</v>
      </c>
      <c r="L15" s="24">
        <f>L14/L$9</f>
        <v>0.42818735585872963</v>
      </c>
    </row>
    <row r="17" spans="2:12" x14ac:dyDescent="0.2">
      <c r="B17" t="s">
        <v>101</v>
      </c>
      <c r="E17" s="16">
        <f>'Income Statement'!D11</f>
        <v>1784.3</v>
      </c>
      <c r="F17" s="16">
        <f>'Income Statement'!C11</f>
        <v>1896.2</v>
      </c>
      <c r="G17" s="16">
        <f>'Income Statement'!B11</f>
        <v>1950.4</v>
      </c>
      <c r="H17" s="4">
        <f>H18*H$9</f>
        <v>1989.7184999999997</v>
      </c>
      <c r="I17" s="4">
        <f>I18*I$9</f>
        <v>1989.7184999999997</v>
      </c>
      <c r="J17" s="4">
        <f t="shared" ref="J17:L17" si="5">J18*J$9</f>
        <v>2586.6340499999997</v>
      </c>
      <c r="K17" s="4">
        <f t="shared" si="5"/>
        <v>3621.2876699999993</v>
      </c>
      <c r="L17" s="4">
        <f t="shared" si="5"/>
        <v>4526.6095874999992</v>
      </c>
    </row>
    <row r="18" spans="2:12" x14ac:dyDescent="0.2">
      <c r="B18" s="13" t="s">
        <v>98</v>
      </c>
      <c r="E18" s="17">
        <f>E17/E$9</f>
        <v>0.30142239340495974</v>
      </c>
      <c r="F18" s="17">
        <f>F17/F$9</f>
        <v>0.34428164206474576</v>
      </c>
      <c r="G18" s="17">
        <f>G17/G$9</f>
        <v>0.33818251174726477</v>
      </c>
      <c r="H18" s="28">
        <v>0.3</v>
      </c>
      <c r="I18" s="28">
        <v>0.25</v>
      </c>
      <c r="J18" s="28">
        <v>0.25</v>
      </c>
      <c r="K18" s="28">
        <v>0.25</v>
      </c>
      <c r="L18" s="28">
        <v>0.25</v>
      </c>
    </row>
    <row r="19" spans="2:12" x14ac:dyDescent="0.2">
      <c r="B19" t="s">
        <v>102</v>
      </c>
      <c r="E19" s="21">
        <f>'Income Statement'!D12</f>
        <v>843.6</v>
      </c>
      <c r="F19" s="21">
        <f>'Income Statement'!C12</f>
        <v>834</v>
      </c>
      <c r="G19" s="21">
        <f>'Income Statement'!B12</f>
        <v>798.2</v>
      </c>
      <c r="H19" s="4">
        <f>H20*H$9</f>
        <v>955.80546076664359</v>
      </c>
      <c r="I19" s="4">
        <f>I20*I$9</f>
        <v>1034.6536199999998</v>
      </c>
      <c r="J19" s="4">
        <f t="shared" ref="J19" si="6">J20*J$9</f>
        <v>1241.5843439999999</v>
      </c>
      <c r="K19" s="4">
        <f t="shared" ref="K19" si="7">K20*K$9</f>
        <v>1593.3665747999996</v>
      </c>
      <c r="L19" s="4">
        <f t="shared" ref="L19" si="8">L20*L$9</f>
        <v>2353.8369854999996</v>
      </c>
    </row>
    <row r="20" spans="2:12" x14ac:dyDescent="0.2">
      <c r="B20" s="13" t="s">
        <v>98</v>
      </c>
      <c r="E20" s="17">
        <f>E19/E$9</f>
        <v>0.14250962902898845</v>
      </c>
      <c r="F20" s="17">
        <f>F19/F$9</f>
        <v>0.15142436951903698</v>
      </c>
      <c r="G20" s="17">
        <f>G19/G$9</f>
        <v>0.13840098486293415</v>
      </c>
      <c r="H20" s="28">
        <f>AVERAGE(E20:G20)</f>
        <v>0.14411166113698651</v>
      </c>
      <c r="I20" s="28">
        <v>0.13</v>
      </c>
      <c r="J20" s="28">
        <v>0.12</v>
      </c>
      <c r="K20" s="28">
        <v>0.11</v>
      </c>
      <c r="L20" s="28">
        <v>0.13</v>
      </c>
    </row>
    <row r="21" spans="2:12" x14ac:dyDescent="0.2">
      <c r="B21" t="s">
        <v>103</v>
      </c>
      <c r="E21" s="21">
        <f>'Income Statement'!D13</f>
        <v>100</v>
      </c>
      <c r="F21" s="21">
        <f>'Income Statement'!C13</f>
        <v>0</v>
      </c>
      <c r="G21" s="21">
        <f>'Income Statement'!B13</f>
        <v>0</v>
      </c>
      <c r="H21" s="4">
        <f>H22*H$9</f>
        <v>0</v>
      </c>
      <c r="I21" s="4">
        <f>I22*I$9</f>
        <v>0</v>
      </c>
      <c r="J21" s="4">
        <f t="shared" ref="J21" si="9">J22*J$9</f>
        <v>0</v>
      </c>
      <c r="K21" s="4">
        <f t="shared" ref="K21" si="10">K22*K$9</f>
        <v>0</v>
      </c>
      <c r="L21" s="4">
        <f t="shared" ref="L21" si="11">L22*L$9</f>
        <v>0</v>
      </c>
    </row>
    <row r="22" spans="2:12" x14ac:dyDescent="0.2">
      <c r="B22" s="13" t="s">
        <v>98</v>
      </c>
      <c r="E22" s="17">
        <f>E21/E$9</f>
        <v>1.6893033313061693E-2</v>
      </c>
      <c r="F22" s="17">
        <f>F21/F$9</f>
        <v>0</v>
      </c>
      <c r="G22" s="17">
        <f>G21/G$9</f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</row>
    <row r="23" spans="2:12" x14ac:dyDescent="0.2">
      <c r="B23" t="s">
        <v>104</v>
      </c>
      <c r="E23" s="21">
        <f>'Income Statement'!D14</f>
        <v>21.6</v>
      </c>
      <c r="F23" s="21">
        <f>'Income Statement'!C14</f>
        <v>131.1</v>
      </c>
      <c r="G23" s="21">
        <f>'Income Statement'!B14</f>
        <v>353.9</v>
      </c>
      <c r="H23" s="29">
        <f>H24*H9</f>
        <v>0</v>
      </c>
      <c r="I23" s="29">
        <f t="shared" ref="I23:L23" si="12">I24*I9</f>
        <v>0</v>
      </c>
      <c r="J23" s="29">
        <f t="shared" si="12"/>
        <v>0</v>
      </c>
      <c r="K23" s="29">
        <f t="shared" si="12"/>
        <v>0</v>
      </c>
      <c r="L23" s="29">
        <f t="shared" si="12"/>
        <v>0</v>
      </c>
    </row>
    <row r="24" spans="2:12" x14ac:dyDescent="0.2">
      <c r="B24" s="13" t="s">
        <v>98</v>
      </c>
      <c r="E24" s="17">
        <f>E23/E$9</f>
        <v>3.6488951956213257E-3</v>
      </c>
      <c r="F24" s="17">
        <f>F23/F$9</f>
        <v>2.3803039381229914E-2</v>
      </c>
      <c r="G24" s="17">
        <f>G23/G$9</f>
        <v>6.1363202885232254E-2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</row>
    <row r="26" spans="2:12" x14ac:dyDescent="0.2">
      <c r="B26" s="23" t="s">
        <v>105</v>
      </c>
      <c r="E26" s="22">
        <f>E17+E19+E21+E23</f>
        <v>2749.5</v>
      </c>
      <c r="F26" s="22">
        <f t="shared" ref="F26:L26" si="13">F17+F19+F21+F23</f>
        <v>2861.2999999999997</v>
      </c>
      <c r="G26" s="22">
        <f t="shared" si="13"/>
        <v>3102.5000000000005</v>
      </c>
      <c r="H26" s="22">
        <f t="shared" si="13"/>
        <v>2945.5239607666435</v>
      </c>
      <c r="I26" s="22">
        <f t="shared" si="13"/>
        <v>3024.3721199999995</v>
      </c>
      <c r="J26" s="22">
        <f t="shared" si="13"/>
        <v>3828.2183939999995</v>
      </c>
      <c r="K26" s="22">
        <f t="shared" si="13"/>
        <v>5214.6542447999991</v>
      </c>
      <c r="L26" s="22">
        <f t="shared" si="13"/>
        <v>6880.4465729999993</v>
      </c>
    </row>
    <row r="27" spans="2:12" s="10" customFormat="1" x14ac:dyDescent="0.2">
      <c r="B27" s="23" t="s">
        <v>98</v>
      </c>
      <c r="E27" s="24">
        <f>E26/E$9</f>
        <v>0.46447395094263122</v>
      </c>
      <c r="F27" s="24">
        <f>F26/F$9</f>
        <v>0.51950905096501254</v>
      </c>
      <c r="G27" s="24">
        <f>G26/G$9</f>
        <v>0.53794669949543117</v>
      </c>
      <c r="H27" s="24">
        <f>H26/H$9</f>
        <v>0.44411166113698652</v>
      </c>
      <c r="I27" s="24">
        <f>I26/I$9</f>
        <v>0.38</v>
      </c>
      <c r="J27" s="24">
        <f>J26/J$9</f>
        <v>0.37</v>
      </c>
      <c r="K27" s="24">
        <f>K26/K$9</f>
        <v>0.36</v>
      </c>
      <c r="L27" s="24">
        <f>L26/L$9</f>
        <v>0.38</v>
      </c>
    </row>
    <row r="29" spans="2:12" s="10" customFormat="1" x14ac:dyDescent="0.2">
      <c r="B29" s="10" t="s">
        <v>107</v>
      </c>
      <c r="E29" s="19">
        <f>E14-E26</f>
        <v>238.00000000000045</v>
      </c>
      <c r="F29" s="19">
        <f t="shared" ref="F29:L29" si="14">F14-F26</f>
        <v>-567.69999999999982</v>
      </c>
      <c r="G29" s="19">
        <f t="shared" si="14"/>
        <v>-720.30000000000018</v>
      </c>
      <c r="H29" s="19">
        <f t="shared" si="14"/>
        <v>4.0512019408483866</v>
      </c>
      <c r="I29" s="19">
        <f t="shared" si="14"/>
        <v>356.0549676514006</v>
      </c>
      <c r="J29" s="19">
        <f t="shared" si="14"/>
        <v>594.96802859016861</v>
      </c>
      <c r="K29" s="19">
        <f t="shared" si="14"/>
        <v>1047.5825707016493</v>
      </c>
      <c r="L29" s="19">
        <f t="shared" si="14"/>
        <v>872.50138810559838</v>
      </c>
    </row>
    <row r="30" spans="2:12" x14ac:dyDescent="0.2">
      <c r="B30" s="23" t="s">
        <v>98</v>
      </c>
      <c r="C30" s="10"/>
      <c r="D30" s="10"/>
      <c r="E30" s="24">
        <f>E29/E$9</f>
        <v>4.0205419285086905E-2</v>
      </c>
      <c r="F30" s="24">
        <f>F29/F$9</f>
        <v>-0.10307387838843797</v>
      </c>
      <c r="G30" s="24">
        <f>G29/G$9</f>
        <v>-0.12489379779099408</v>
      </c>
      <c r="H30" s="24">
        <f>H29/H$9</f>
        <v>6.108203659233786E-4</v>
      </c>
      <c r="I30" s="24">
        <f>I29/I$9</f>
        <v>4.473685192797381E-2</v>
      </c>
      <c r="J30" s="24">
        <f>J29/J$9</f>
        <v>5.7504078378440189E-2</v>
      </c>
      <c r="K30" s="24">
        <f>K29/K$9</f>
        <v>7.2321137269774641E-2</v>
      </c>
      <c r="L30" s="24">
        <f>L29/L$9</f>
        <v>4.8187355858729582E-2</v>
      </c>
    </row>
    <row r="32" spans="2:12" x14ac:dyDescent="0.2">
      <c r="B32" t="s">
        <v>108</v>
      </c>
      <c r="E32" s="21">
        <f>'Income Statement'!D17*-1</f>
        <v>170.6</v>
      </c>
      <c r="F32" s="21">
        <f>'Income Statement'!C17*-1</f>
        <v>211.7</v>
      </c>
      <c r="G32" s="21">
        <f>'Income Statement'!B17*-1</f>
        <v>189.4</v>
      </c>
      <c r="H32" s="4">
        <f>H33*H$9</f>
        <v>221.29413901978543</v>
      </c>
      <c r="I32" s="4">
        <f t="shared" ref="I32:L32" si="15">I33*I$9</f>
        <v>277.61366000176275</v>
      </c>
      <c r="J32" s="4">
        <f t="shared" si="15"/>
        <v>348.63340495771894</v>
      </c>
      <c r="K32" s="4">
        <f t="shared" si="15"/>
        <v>492.21667592107531</v>
      </c>
      <c r="L32" s="4">
        <f t="shared" si="15"/>
        <v>618.98346002712083</v>
      </c>
    </row>
    <row r="33" spans="2:12" x14ac:dyDescent="0.2">
      <c r="B33" s="13" t="s">
        <v>98</v>
      </c>
      <c r="E33" s="17">
        <f>E32/E$9</f>
        <v>2.8819514832083247E-2</v>
      </c>
      <c r="F33" s="17">
        <f>F32/F$9</f>
        <v>3.8437097154892241E-2</v>
      </c>
      <c r="G33" s="17">
        <f>G32/G$9</f>
        <v>3.2840323895063549E-2</v>
      </c>
      <c r="H33" s="14">
        <f>AVERAGE(E33:G33)</f>
        <v>3.3365645294013015E-2</v>
      </c>
      <c r="I33" s="14">
        <f t="shared" ref="I33:L33" si="16">AVERAGE(F33:H33)</f>
        <v>3.4881022114656268E-2</v>
      </c>
      <c r="J33" s="14">
        <f t="shared" si="16"/>
        <v>3.3695663767910944E-2</v>
      </c>
      <c r="K33" s="14">
        <f t="shared" si="16"/>
        <v>3.3980777058860073E-2</v>
      </c>
      <c r="L33" s="14">
        <f t="shared" si="16"/>
        <v>3.4185820980475762E-2</v>
      </c>
    </row>
    <row r="34" spans="2:12" x14ac:dyDescent="0.2">
      <c r="B34" t="s">
        <v>109</v>
      </c>
      <c r="E34" s="21">
        <f>'Income Statement'!D18</f>
        <v>17.7</v>
      </c>
      <c r="F34" s="21">
        <f>'Income Statement'!C18</f>
        <v>20.7</v>
      </c>
      <c r="G34" s="21">
        <f>'Income Statement'!B18</f>
        <v>15</v>
      </c>
      <c r="H34" s="4">
        <f>H35*H$9</f>
        <v>20.669443299399081</v>
      </c>
      <c r="I34" s="4">
        <f t="shared" ref="I34" si="17">I35*I$9</f>
        <v>25.138587385667361</v>
      </c>
      <c r="J34" s="4">
        <f t="shared" ref="J34" si="18">J35*J$9</f>
        <v>30.611498382810044</v>
      </c>
      <c r="K34" s="4">
        <f t="shared" ref="K34" si="19">K35*K$9</f>
        <v>44.583463647912076</v>
      </c>
      <c r="L34" s="4">
        <f t="shared" ref="L34" si="20">L35*L$9</f>
        <v>55.496579344066966</v>
      </c>
    </row>
    <row r="35" spans="2:12" x14ac:dyDescent="0.2">
      <c r="B35" s="13" t="s">
        <v>98</v>
      </c>
      <c r="E35" s="17">
        <f>E34/E$9</f>
        <v>2.9900668964119195E-3</v>
      </c>
      <c r="F35" s="17">
        <f>F34/F$9</f>
        <v>3.7583746391415653E-3</v>
      </c>
      <c r="G35" s="17">
        <f>G34/G$9</f>
        <v>2.6008704246354448E-3</v>
      </c>
      <c r="H35" s="14">
        <f>AVERAGE(E35:G35)</f>
        <v>3.1164373200629762E-3</v>
      </c>
      <c r="I35" s="14">
        <f t="shared" ref="I35" si="21">AVERAGE(F35:H35)</f>
        <v>3.1585607946133291E-3</v>
      </c>
      <c r="J35" s="14">
        <f t="shared" ref="J35" si="22">AVERAGE(G35:I35)</f>
        <v>2.9586228464372499E-3</v>
      </c>
      <c r="K35" s="14">
        <f t="shared" ref="K35" si="23">AVERAGE(H35:J35)</f>
        <v>3.0778736537045181E-3</v>
      </c>
      <c r="L35" s="14">
        <f t="shared" ref="L35" si="24">AVERAGE(I35:K35)</f>
        <v>3.0650190982516989E-3</v>
      </c>
    </row>
    <row r="37" spans="2:12" s="10" customFormat="1" x14ac:dyDescent="0.2">
      <c r="B37" s="10" t="s">
        <v>110</v>
      </c>
      <c r="E37" s="19">
        <f>E29-E32+E34</f>
        <v>85.100000000000463</v>
      </c>
      <c r="F37" s="19">
        <f t="shared" ref="F37:L37" si="25">F29-F32+F34</f>
        <v>-758.69999999999982</v>
      </c>
      <c r="G37" s="19">
        <f t="shared" si="25"/>
        <v>-894.70000000000016</v>
      </c>
      <c r="H37" s="19">
        <f t="shared" si="25"/>
        <v>-196.57349377953796</v>
      </c>
      <c r="I37" s="19">
        <f t="shared" si="25"/>
        <v>103.57989503530521</v>
      </c>
      <c r="J37" s="19">
        <f t="shared" si="25"/>
        <v>276.94612201525973</v>
      </c>
      <c r="K37" s="19">
        <f t="shared" si="25"/>
        <v>599.94935842848599</v>
      </c>
      <c r="L37" s="19">
        <f t="shared" si="25"/>
        <v>309.01450742254451</v>
      </c>
    </row>
    <row r="38" spans="2:12" x14ac:dyDescent="0.2">
      <c r="B38" s="23" t="s">
        <v>98</v>
      </c>
      <c r="C38" s="10"/>
      <c r="D38" s="10"/>
      <c r="E38" s="24">
        <f>E37/E$9</f>
        <v>1.4375971349415578E-2</v>
      </c>
      <c r="F38" s="24">
        <f>F37/F$9</f>
        <v>-0.13775260090418864</v>
      </c>
      <c r="G38" s="24">
        <f>G37/G$9</f>
        <v>-0.15513325126142219</v>
      </c>
      <c r="H38" s="24">
        <f>H37/H$9</f>
        <v>-2.9638387608026659E-2</v>
      </c>
      <c r="I38" s="24">
        <f>I37/I$9</f>
        <v>1.3014390607930875E-2</v>
      </c>
      <c r="J38" s="24">
        <f>J37/J$9</f>
        <v>2.6767037456966493E-2</v>
      </c>
      <c r="K38" s="24">
        <f>K37/K$9</f>
        <v>4.1418233864619083E-2</v>
      </c>
      <c r="L38" s="24">
        <f>L37/L$9</f>
        <v>1.706655397650552E-2</v>
      </c>
    </row>
    <row r="40" spans="2:12" x14ac:dyDescent="0.2">
      <c r="B40" t="s">
        <v>111</v>
      </c>
      <c r="E40" s="21">
        <f>'Income Statement'!D21*-1</f>
        <v>-248.6</v>
      </c>
      <c r="F40" s="21">
        <f>'Income Statement'!C21*-1</f>
        <v>-174.7</v>
      </c>
      <c r="G40" s="21">
        <f>'Income Statement'!B21*-1</f>
        <v>9.6999999999999993</v>
      </c>
      <c r="H40" s="30">
        <f>AVERAGE(E40:G40)</f>
        <v>-137.86666666666665</v>
      </c>
      <c r="I40" s="30">
        <f t="shared" ref="I40:L40" si="26">AVERAGE(F40:H40)</f>
        <v>-100.95555555555556</v>
      </c>
      <c r="J40" s="30">
        <f t="shared" si="26"/>
        <v>-76.374074074074073</v>
      </c>
      <c r="K40" s="30">
        <f t="shared" si="26"/>
        <v>-105.06543209876543</v>
      </c>
      <c r="L40" s="30">
        <f t="shared" si="26"/>
        <v>-94.13168724279835</v>
      </c>
    </row>
    <row r="41" spans="2:12" x14ac:dyDescent="0.2">
      <c r="E41" s="14"/>
    </row>
    <row r="42" spans="2:12" s="10" customFormat="1" x14ac:dyDescent="0.2">
      <c r="B42" s="10" t="s">
        <v>112</v>
      </c>
      <c r="E42" s="19">
        <f>E37+E40</f>
        <v>-163.49999999999955</v>
      </c>
      <c r="F42" s="19">
        <f t="shared" ref="F42:L42" si="27">F37+F40</f>
        <v>-933.39999999999986</v>
      </c>
      <c r="G42" s="19">
        <f t="shared" si="27"/>
        <v>-885.00000000000011</v>
      </c>
      <c r="H42" s="19">
        <f t="shared" si="27"/>
        <v>-334.44016044620457</v>
      </c>
      <c r="I42" s="19">
        <f t="shared" si="27"/>
        <v>2.6243394797496506</v>
      </c>
      <c r="J42" s="19">
        <f t="shared" si="27"/>
        <v>200.57204794118564</v>
      </c>
      <c r="K42" s="19">
        <f t="shared" si="27"/>
        <v>494.88392632972057</v>
      </c>
      <c r="L42" s="19">
        <f t="shared" si="27"/>
        <v>214.88282017974615</v>
      </c>
    </row>
    <row r="43" spans="2:12" x14ac:dyDescent="0.2">
      <c r="B43" s="23" t="s">
        <v>98</v>
      </c>
      <c r="C43" s="10"/>
      <c r="D43" s="10"/>
      <c r="E43" s="24">
        <f>E42/E$9</f>
        <v>-2.762010946685579E-2</v>
      </c>
      <c r="F43" s="24">
        <f>F42/F$9</f>
        <v>-0.16947183034660565</v>
      </c>
      <c r="G43" s="24">
        <f>G42/G$9</f>
        <v>-0.15345135505349125</v>
      </c>
      <c r="H43" s="24">
        <f>H42/H$9</f>
        <v>-5.0425247658832835E-2</v>
      </c>
      <c r="I43" s="24">
        <f>I42/I$9</f>
        <v>3.2973753319246553E-4</v>
      </c>
      <c r="J43" s="24">
        <f>J42/J$9</f>
        <v>1.938542948713461E-2</v>
      </c>
      <c r="K43" s="24">
        <f>K42/K$9</f>
        <v>3.4164913935829398E-2</v>
      </c>
      <c r="L43" s="24">
        <f>L42/L$9</f>
        <v>1.1867757536078109E-2</v>
      </c>
    </row>
    <row r="46" spans="2:12" x14ac:dyDescent="0.2">
      <c r="B46" s="25" t="s">
        <v>114</v>
      </c>
    </row>
    <row r="47" spans="2:12" x14ac:dyDescent="0.2">
      <c r="B47" t="str">
        <f>B42</f>
        <v>Net Loss</v>
      </c>
      <c r="E47">
        <f t="shared" ref="E47:L47" si="28">E42</f>
        <v>-163.49999999999955</v>
      </c>
      <c r="F47">
        <f t="shared" si="28"/>
        <v>-933.39999999999986</v>
      </c>
      <c r="G47">
        <f t="shared" si="28"/>
        <v>-885.00000000000011</v>
      </c>
      <c r="H47" s="30">
        <f t="shared" si="28"/>
        <v>-334.44016044620457</v>
      </c>
      <c r="I47" s="30">
        <f t="shared" si="28"/>
        <v>2.6243394797496506</v>
      </c>
      <c r="J47" s="30">
        <f t="shared" si="28"/>
        <v>200.57204794118564</v>
      </c>
      <c r="K47" s="30">
        <f t="shared" si="28"/>
        <v>494.88392632972057</v>
      </c>
      <c r="L47" s="30">
        <f t="shared" si="28"/>
        <v>214.88282017974615</v>
      </c>
    </row>
    <row r="48" spans="2:12" x14ac:dyDescent="0.2">
      <c r="B48" t="s">
        <v>115</v>
      </c>
      <c r="E48" s="21">
        <f>'Cash Flow'!D9</f>
        <v>304.89999999999998</v>
      </c>
      <c r="F48" s="21">
        <f>'Cash Flow'!C9</f>
        <v>299.8</v>
      </c>
      <c r="G48" s="21">
        <f>'Cash Flow'!B9</f>
        <v>304.3</v>
      </c>
      <c r="H48" s="4">
        <f>H49*H$9</f>
        <v>331.61975000000001</v>
      </c>
      <c r="I48" s="4">
        <f t="shared" ref="I48" si="29">I49*I$9</f>
        <v>397.94369999999998</v>
      </c>
      <c r="J48" s="4">
        <f t="shared" ref="J48" si="30">J49*J$9</f>
        <v>517.32680999999991</v>
      </c>
      <c r="K48" s="4">
        <f t="shared" ref="K48" si="31">K49*K$9</f>
        <v>724.25753399999985</v>
      </c>
      <c r="L48" s="4">
        <f t="shared" ref="L48" si="32">L49*L$9</f>
        <v>905.32191749999993</v>
      </c>
    </row>
    <row r="49" spans="2:12" x14ac:dyDescent="0.2">
      <c r="B49" s="13" t="s">
        <v>98</v>
      </c>
      <c r="E49" s="17">
        <f>E48/E$9</f>
        <v>5.1506858571525094E-2</v>
      </c>
      <c r="F49" s="17">
        <f>F48/F$9</f>
        <v>5.4432884870272528E-2</v>
      </c>
      <c r="G49" s="17">
        <f>G48/G$9</f>
        <v>5.2762991347771057E-2</v>
      </c>
      <c r="H49" s="31">
        <v>0.05</v>
      </c>
      <c r="I49" s="31">
        <v>0.05</v>
      </c>
      <c r="J49" s="31">
        <v>0.05</v>
      </c>
      <c r="K49" s="31">
        <v>0.05</v>
      </c>
      <c r="L49" s="31">
        <v>0.05</v>
      </c>
    </row>
    <row r="50" spans="2:12" x14ac:dyDescent="0.2">
      <c r="B50" t="s">
        <v>116</v>
      </c>
      <c r="E50" s="21">
        <f>'Cash Flow'!D10</f>
        <v>552.4</v>
      </c>
      <c r="F50" s="21">
        <f>'Cash Flow'!C10</f>
        <v>609.79999999999995</v>
      </c>
      <c r="G50" s="21">
        <f>'Cash Flow'!B10</f>
        <v>597.4</v>
      </c>
      <c r="H50" s="4">
        <f>H51*H$9</f>
        <v>680.08321419267691</v>
      </c>
      <c r="I50" s="4">
        <f t="shared" ref="I50" si="33">I51*I$9</f>
        <v>840.56675322250715</v>
      </c>
      <c r="J50" s="4">
        <f t="shared" ref="J50" si="34">J51*J$9</f>
        <v>1075.1340644432785</v>
      </c>
      <c r="K50" s="4">
        <f t="shared" ref="K50" si="35">K51*K$9</f>
        <v>1506.7736402941196</v>
      </c>
      <c r="L50" s="4">
        <f t="shared" ref="L50" si="36">L51*L$9</f>
        <v>1892.4136755748636</v>
      </c>
    </row>
    <row r="51" spans="2:12" x14ac:dyDescent="0.2">
      <c r="B51" s="13" t="s">
        <v>98</v>
      </c>
      <c r="E51" s="17">
        <f>E50/E$9</f>
        <v>9.3317116021352786E-2</v>
      </c>
      <c r="F51" s="17">
        <f>F50/F$9</f>
        <v>0.11071772246128148</v>
      </c>
      <c r="G51" s="17">
        <f>G50/G$9</f>
        <v>0.10358399944514764</v>
      </c>
      <c r="H51" s="14">
        <f>AVERAGE(E51:G51)</f>
        <v>0.10253961264259397</v>
      </c>
      <c r="I51" s="14">
        <f t="shared" ref="I51:L51" si="37">AVERAGE(F51:H51)</f>
        <v>0.1056137781830077</v>
      </c>
      <c r="J51" s="14">
        <f t="shared" si="37"/>
        <v>0.10391246342358311</v>
      </c>
      <c r="K51" s="14">
        <f t="shared" si="37"/>
        <v>0.10402195141639492</v>
      </c>
      <c r="L51" s="14">
        <f t="shared" si="37"/>
        <v>0.10451606434099525</v>
      </c>
    </row>
    <row r="52" spans="2:12" x14ac:dyDescent="0.2">
      <c r="B52" t="s">
        <v>117</v>
      </c>
      <c r="E52" s="16">
        <f>'Cash Flow'!D12+'Cash Flow'!D11</f>
        <v>1126.1000000000001</v>
      </c>
      <c r="F52" s="16">
        <f>'Cash Flow'!C12+'Cash Flow'!C11</f>
        <v>1097.9000000000001</v>
      </c>
      <c r="G52" s="16">
        <f>'Cash Flow'!B12+'Cash Flow'!B11</f>
        <v>1052.5999999999999</v>
      </c>
      <c r="H52" s="4">
        <f>H53*H$9</f>
        <v>1264.760811631656</v>
      </c>
      <c r="I52" s="4">
        <f t="shared" ref="I52" si="38">I53*I$9</f>
        <v>1518.9386034623287</v>
      </c>
      <c r="J52" s="4">
        <f t="shared" ref="J52" si="39">J53*J$9</f>
        <v>1945.33715021547</v>
      </c>
      <c r="K52" s="4">
        <f t="shared" ref="K52" si="40">K53*K$9</f>
        <v>2750.0592937355441</v>
      </c>
      <c r="L52" s="4">
        <f t="shared" ref="L52" si="41">L53*L$9</f>
        <v>3432.4998176411</v>
      </c>
    </row>
    <row r="53" spans="2:12" x14ac:dyDescent="0.2">
      <c r="B53" s="13" t="s">
        <v>98</v>
      </c>
      <c r="E53" s="17">
        <f>E52/E$9</f>
        <v>0.19023244813838774</v>
      </c>
      <c r="F53" s="17">
        <f>F52/F$9</f>
        <v>0.19933910706828625</v>
      </c>
      <c r="G53" s="17">
        <f>G52/G$9</f>
        <v>0.18251174726475125</v>
      </c>
      <c r="H53" s="14">
        <f>AVERAGE(E53:G53)</f>
        <v>0.19069443415714174</v>
      </c>
      <c r="I53" s="14">
        <f t="shared" ref="I53:L53" si="42">AVERAGE(F53:H53)</f>
        <v>0.19084842949672642</v>
      </c>
      <c r="J53" s="14">
        <f t="shared" si="42"/>
        <v>0.1880182036395398</v>
      </c>
      <c r="K53" s="14">
        <f t="shared" si="42"/>
        <v>0.18985368909780265</v>
      </c>
      <c r="L53" s="14">
        <f t="shared" si="42"/>
        <v>0.18957344074468963</v>
      </c>
    </row>
    <row r="54" spans="2:12" x14ac:dyDescent="0.2">
      <c r="B54" s="18" t="s">
        <v>125</v>
      </c>
      <c r="E54" s="27">
        <f>E40</f>
        <v>-248.6</v>
      </c>
      <c r="F54" s="27">
        <f t="shared" ref="F54:G54" si="43">F40</f>
        <v>-174.7</v>
      </c>
      <c r="G54" s="27">
        <f t="shared" si="43"/>
        <v>9.6999999999999993</v>
      </c>
      <c r="H54" s="30">
        <f>H40</f>
        <v>-137.86666666666665</v>
      </c>
      <c r="I54" s="30">
        <f t="shared" ref="I54:L54" si="44">I40</f>
        <v>-100.95555555555556</v>
      </c>
      <c r="J54" s="30">
        <f t="shared" si="44"/>
        <v>-76.374074074074073</v>
      </c>
      <c r="K54" s="30">
        <f t="shared" si="44"/>
        <v>-105.06543209876543</v>
      </c>
      <c r="L54" s="30">
        <f t="shared" si="44"/>
        <v>-94.13168724279835</v>
      </c>
    </row>
    <row r="56" spans="2:12" x14ac:dyDescent="0.2">
      <c r="B56" s="10" t="s">
        <v>114</v>
      </c>
      <c r="E56" s="22">
        <f>E47+E48+E50+E52-E54</f>
        <v>2068.5000000000005</v>
      </c>
      <c r="F56" s="22">
        <f t="shared" ref="F56:L56" si="45">F47+F48+F50+F52-F54</f>
        <v>1248.8000000000002</v>
      </c>
      <c r="G56" s="22">
        <f>G47+G48+G50+G52+G54</f>
        <v>1078.9999999999998</v>
      </c>
      <c r="H56" s="22">
        <f t="shared" si="45"/>
        <v>2079.8902820447952</v>
      </c>
      <c r="I56" s="22">
        <f t="shared" si="45"/>
        <v>2861.0289517201413</v>
      </c>
      <c r="J56" s="22">
        <f t="shared" si="45"/>
        <v>3814.7441466740083</v>
      </c>
      <c r="K56" s="22">
        <f t="shared" si="45"/>
        <v>5581.039826458149</v>
      </c>
      <c r="L56" s="22">
        <f t="shared" si="45"/>
        <v>6539.2499181385083</v>
      </c>
    </row>
    <row r="57" spans="2:12" x14ac:dyDescent="0.2">
      <c r="B57" s="23" t="s">
        <v>98</v>
      </c>
      <c r="C57" s="10"/>
      <c r="D57" s="10"/>
      <c r="E57" s="24">
        <f>E56/E$9</f>
        <v>0.34943239408068116</v>
      </c>
      <c r="F57" s="24">
        <f>F56/F$9</f>
        <v>0.22673711349565159</v>
      </c>
      <c r="G57" s="24">
        <f>G56/G$9</f>
        <v>0.1870892792121096</v>
      </c>
      <c r="H57" s="24">
        <f>H56/H$9</f>
        <v>0.31359565919170906</v>
      </c>
      <c r="I57" s="24">
        <f>I56/I$9</f>
        <v>0.35947659828766504</v>
      </c>
      <c r="J57" s="24">
        <f>J56/J$9</f>
        <v>0.36869770452008943</v>
      </c>
      <c r="K57" s="24">
        <f>K56/K$9</f>
        <v>0.38529387437881663</v>
      </c>
      <c r="L57" s="24">
        <f>L56/L$9</f>
        <v>0.36115605906219039</v>
      </c>
    </row>
    <row r="59" spans="2:12" x14ac:dyDescent="0.2">
      <c r="B59" t="s">
        <v>118</v>
      </c>
      <c r="F59" s="21">
        <f>'Balance Sheet'!C12</f>
        <v>756</v>
      </c>
      <c r="G59" s="21">
        <f>'Balance Sheet'!B12</f>
        <v>790.5</v>
      </c>
    </row>
    <row r="60" spans="2:12" x14ac:dyDescent="0.2">
      <c r="B60" t="s">
        <v>115</v>
      </c>
      <c r="G60">
        <f>G48</f>
        <v>304.3</v>
      </c>
    </row>
    <row r="62" spans="2:12" s="10" customFormat="1" x14ac:dyDescent="0.2">
      <c r="B62" s="10" t="s">
        <v>119</v>
      </c>
      <c r="E62" s="26"/>
      <c r="F62" s="26"/>
      <c r="G62" s="26">
        <f>G59-F59+G60</f>
        <v>338.8</v>
      </c>
      <c r="H62" s="19">
        <f>H63*H$9</f>
        <v>198.97184999999999</v>
      </c>
      <c r="I62" s="19">
        <f t="shared" ref="I62:L62" si="46">I63*I$9</f>
        <v>238.76621999999995</v>
      </c>
      <c r="J62" s="19">
        <f t="shared" si="46"/>
        <v>310.39608599999997</v>
      </c>
      <c r="K62" s="19">
        <f t="shared" si="46"/>
        <v>434.55452039999989</v>
      </c>
      <c r="L62" s="19">
        <f t="shared" si="46"/>
        <v>543.19315049999989</v>
      </c>
    </row>
    <row r="63" spans="2:12" x14ac:dyDescent="0.2">
      <c r="B63" s="23" t="s">
        <v>98</v>
      </c>
      <c r="C63" s="10"/>
      <c r="D63" s="10"/>
      <c r="E63" s="24"/>
      <c r="F63" s="24"/>
      <c r="G63" s="24">
        <f>G62/G$9</f>
        <v>5.874499332443258E-2</v>
      </c>
      <c r="H63" s="32">
        <v>0.03</v>
      </c>
      <c r="I63" s="32">
        <v>0.03</v>
      </c>
      <c r="J63" s="32">
        <v>0.03</v>
      </c>
      <c r="K63" s="32">
        <v>0.03</v>
      </c>
      <c r="L63" s="32">
        <v>0.03</v>
      </c>
    </row>
    <row r="64" spans="2:12" x14ac:dyDescent="0.2">
      <c r="B64" t="s">
        <v>120</v>
      </c>
      <c r="F64" s="16">
        <f>'Balance Sheet'!C11</f>
        <v>3062.7</v>
      </c>
      <c r="G64" s="16">
        <f>'Balance Sheet'!B11</f>
        <v>3120.3</v>
      </c>
    </row>
    <row r="65" spans="2:13" x14ac:dyDescent="0.2">
      <c r="B65" t="s">
        <v>121</v>
      </c>
      <c r="F65" s="16">
        <f>'Balance Sheet'!C23</f>
        <v>1814.2</v>
      </c>
      <c r="G65" s="16">
        <f>'Balance Sheet'!B23</f>
        <v>2026.8</v>
      </c>
    </row>
    <row r="67" spans="2:13" s="10" customFormat="1" x14ac:dyDescent="0.2">
      <c r="B67" s="10" t="s">
        <v>122</v>
      </c>
      <c r="E67" s="26"/>
      <c r="F67" s="22">
        <f>F64-F65</f>
        <v>1248.4999999999998</v>
      </c>
      <c r="G67" s="22">
        <f>G64-G65</f>
        <v>1093.5000000000002</v>
      </c>
      <c r="H67" s="19">
        <f>H68*H$9</f>
        <v>994.85924999999986</v>
      </c>
      <c r="I67" s="19">
        <f t="shared" ref="I67" si="47">I68*I$9</f>
        <v>1193.8310999999999</v>
      </c>
      <c r="J67" s="19">
        <f t="shared" ref="J67" si="48">J68*J$9</f>
        <v>1551.9804299999998</v>
      </c>
      <c r="K67" s="19">
        <f t="shared" ref="K67" si="49">K68*K$9</f>
        <v>2172.7726019999996</v>
      </c>
      <c r="L67" s="19">
        <f t="shared" ref="L67" si="50">L68*L$9</f>
        <v>2715.9657524999993</v>
      </c>
    </row>
    <row r="68" spans="2:13" x14ac:dyDescent="0.2">
      <c r="B68" s="23" t="s">
        <v>98</v>
      </c>
      <c r="C68" s="10"/>
      <c r="D68" s="10"/>
      <c r="E68" s="24"/>
      <c r="F68" s="24"/>
      <c r="G68" s="24">
        <f>G67/G$9</f>
        <v>0.18960345395592396</v>
      </c>
      <c r="H68" s="32">
        <v>0.15</v>
      </c>
      <c r="I68" s="32">
        <v>0.15</v>
      </c>
      <c r="J68" s="32">
        <v>0.15</v>
      </c>
      <c r="K68" s="32">
        <v>0.15</v>
      </c>
      <c r="L68" s="32">
        <v>0.15</v>
      </c>
    </row>
    <row r="70" spans="2:13" x14ac:dyDescent="0.2">
      <c r="B70" s="10" t="s">
        <v>123</v>
      </c>
    </row>
    <row r="71" spans="2:13" x14ac:dyDescent="0.2">
      <c r="B71" t="str">
        <f>B56</f>
        <v>Adj. EBITDA</v>
      </c>
      <c r="E71">
        <f t="shared" ref="E71:L71" si="51">E56</f>
        <v>2068.5000000000005</v>
      </c>
      <c r="F71">
        <f t="shared" si="51"/>
        <v>1248.8000000000002</v>
      </c>
      <c r="G71">
        <f t="shared" si="51"/>
        <v>1078.9999999999998</v>
      </c>
      <c r="H71" s="30">
        <f t="shared" si="51"/>
        <v>2079.8902820447952</v>
      </c>
      <c r="I71" s="30">
        <f t="shared" si="51"/>
        <v>2861.0289517201413</v>
      </c>
      <c r="J71" s="30">
        <f t="shared" si="51"/>
        <v>3814.7441466740083</v>
      </c>
      <c r="K71" s="30">
        <f t="shared" si="51"/>
        <v>5581.039826458149</v>
      </c>
      <c r="L71" s="30">
        <f t="shared" si="51"/>
        <v>6539.2499181385083</v>
      </c>
    </row>
    <row r="72" spans="2:13" x14ac:dyDescent="0.2">
      <c r="B72" t="s">
        <v>124</v>
      </c>
      <c r="E72">
        <f>E40</f>
        <v>-248.6</v>
      </c>
      <c r="F72">
        <f t="shared" ref="F72:L72" si="52">F40</f>
        <v>-174.7</v>
      </c>
      <c r="G72">
        <f t="shared" si="52"/>
        <v>9.6999999999999993</v>
      </c>
      <c r="H72" s="30">
        <f t="shared" si="52"/>
        <v>-137.86666666666665</v>
      </c>
      <c r="I72" s="30">
        <f t="shared" si="52"/>
        <v>-100.95555555555556</v>
      </c>
      <c r="J72" s="30">
        <f t="shared" si="52"/>
        <v>-76.374074074074073</v>
      </c>
      <c r="K72" s="30">
        <f t="shared" si="52"/>
        <v>-105.06543209876543</v>
      </c>
      <c r="L72" s="30">
        <f t="shared" si="52"/>
        <v>-94.13168724279835</v>
      </c>
    </row>
    <row r="73" spans="2:13" x14ac:dyDescent="0.2">
      <c r="B73" t="s">
        <v>126</v>
      </c>
      <c r="G73">
        <f t="shared" ref="G73:L73" si="53">G62</f>
        <v>338.8</v>
      </c>
      <c r="H73" s="30">
        <f t="shared" si="53"/>
        <v>198.97184999999999</v>
      </c>
      <c r="I73" s="30">
        <f t="shared" si="53"/>
        <v>238.76621999999995</v>
      </c>
      <c r="J73" s="30">
        <f t="shared" si="53"/>
        <v>310.39608599999997</v>
      </c>
      <c r="K73" s="30">
        <f t="shared" si="53"/>
        <v>434.55452039999989</v>
      </c>
      <c r="L73" s="30">
        <f t="shared" si="53"/>
        <v>543.19315049999989</v>
      </c>
    </row>
    <row r="74" spans="2:13" x14ac:dyDescent="0.2">
      <c r="B74" t="s">
        <v>127</v>
      </c>
      <c r="G74" s="6">
        <f>G67-F67</f>
        <v>-154.99999999999955</v>
      </c>
      <c r="H74" s="6">
        <f>H67-G67</f>
        <v>-98.640750000000367</v>
      </c>
      <c r="I74" s="6">
        <f t="shared" ref="I74:K74" si="54">I67-H67</f>
        <v>198.97185000000002</v>
      </c>
      <c r="J74" s="6">
        <f t="shared" si="54"/>
        <v>358.14932999999996</v>
      </c>
      <c r="K74" s="6">
        <f t="shared" si="54"/>
        <v>620.79217199999971</v>
      </c>
      <c r="L74" s="6">
        <f>L67-K67</f>
        <v>543.19315049999977</v>
      </c>
    </row>
    <row r="76" spans="2:13" s="10" customFormat="1" x14ac:dyDescent="0.2">
      <c r="B76" s="10" t="s">
        <v>123</v>
      </c>
      <c r="E76" s="26"/>
      <c r="F76" s="26"/>
      <c r="G76" s="34">
        <f>G71+G72-G73-G74</f>
        <v>904.89999999999941</v>
      </c>
      <c r="H76" s="34">
        <f>H71+H72-H73-H74</f>
        <v>1841.692515378129</v>
      </c>
      <c r="I76" s="34">
        <f t="shared" ref="H76:L76" si="55">I71+I72-I73-I74</f>
        <v>2322.3353261645857</v>
      </c>
      <c r="J76" s="34">
        <f t="shared" si="55"/>
        <v>3069.8246565999343</v>
      </c>
      <c r="K76" s="34">
        <f t="shared" si="55"/>
        <v>4420.6277019593845</v>
      </c>
      <c r="L76" s="34">
        <f t="shared" si="55"/>
        <v>5358.73192989571</v>
      </c>
      <c r="M76" s="34">
        <f>L76*(1+C78)/(C79-C78)</f>
        <v>79615.445815593412</v>
      </c>
    </row>
    <row r="78" spans="2:13" x14ac:dyDescent="0.2">
      <c r="B78" t="s">
        <v>128</v>
      </c>
      <c r="C78" s="28">
        <v>0.04</v>
      </c>
    </row>
    <row r="79" spans="2:13" x14ac:dyDescent="0.2">
      <c r="B79" t="s">
        <v>129</v>
      </c>
      <c r="C79" s="28">
        <v>0.11</v>
      </c>
    </row>
    <row r="82" spans="2:12" s="10" customFormat="1" x14ac:dyDescent="0.2">
      <c r="B82" s="10" t="s">
        <v>130</v>
      </c>
      <c r="E82" s="26"/>
      <c r="F82" s="26"/>
      <c r="G82" s="26"/>
      <c r="H82" s="33">
        <f>H76/(1+C79)^1</f>
        <v>1659.1824462866025</v>
      </c>
      <c r="I82" s="33">
        <f>I76/(1+C79)^2</f>
        <v>1884.8594482303265</v>
      </c>
      <c r="J82" s="33">
        <f>J76/(1+C79)^3</f>
        <v>2244.6293310110209</v>
      </c>
      <c r="K82" s="33">
        <f>K76/(1+C79)^4</f>
        <v>2912.0043924440783</v>
      </c>
      <c r="L82" s="33">
        <f>L76/(1+C79)^5+M76</f>
        <v>82795.592396099819</v>
      </c>
    </row>
    <row r="83" spans="2:12" x14ac:dyDescent="0.2">
      <c r="B83" t="s">
        <v>131</v>
      </c>
      <c r="D83" s="35">
        <f>SUM(H82:L82)</f>
        <v>91496.268014071844</v>
      </c>
    </row>
    <row r="84" spans="2:12" x14ac:dyDescent="0.2">
      <c r="B84" t="s">
        <v>132</v>
      </c>
      <c r="D84" s="35">
        <f>'Balance Sheet'!B24+'Balance Sheet'!B22</f>
        <v>4063.8</v>
      </c>
    </row>
    <row r="85" spans="2:12" x14ac:dyDescent="0.2">
      <c r="B85" t="s">
        <v>133</v>
      </c>
      <c r="D85" s="35">
        <f>'Balance Sheet'!B7</f>
        <v>948.3</v>
      </c>
    </row>
    <row r="86" spans="2:12" x14ac:dyDescent="0.2">
      <c r="D86" s="35"/>
    </row>
    <row r="87" spans="2:12" x14ac:dyDescent="0.2">
      <c r="B87" t="s">
        <v>134</v>
      </c>
      <c r="D87" s="36">
        <f>D83-D84+D85</f>
        <v>88380.768014071844</v>
      </c>
    </row>
    <row r="88" spans="2:12" x14ac:dyDescent="0.2">
      <c r="B88" t="s">
        <v>135</v>
      </c>
      <c r="D88" s="35">
        <f>'Income Statement'!B26</f>
        <v>865.5</v>
      </c>
    </row>
    <row r="89" spans="2:12" x14ac:dyDescent="0.2">
      <c r="B89" s="10" t="s">
        <v>136</v>
      </c>
      <c r="C89" s="10"/>
      <c r="D89" s="19">
        <f>D87/D88</f>
        <v>102.11527211331236</v>
      </c>
    </row>
  </sheetData>
  <mergeCells count="2">
    <mergeCell ref="E6:G6"/>
    <mergeCell ref="H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Upadhyay</dc:creator>
  <cp:lastModifiedBy>Sambhav Upadhyay</cp:lastModifiedBy>
  <dcterms:created xsi:type="dcterms:W3CDTF">2025-10-01T15:48:02Z</dcterms:created>
  <dcterms:modified xsi:type="dcterms:W3CDTF">2025-10-01T18:36:11Z</dcterms:modified>
</cp:coreProperties>
</file>